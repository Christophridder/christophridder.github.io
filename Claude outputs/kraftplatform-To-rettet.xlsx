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Middel af de stille målinger (t = 0 til 1,58 s). Tilpas rækkerne til dit eget datasæt.</t>
        </r>
      </text>
    </comment>
  </commentList>
</comments>
</file>

<file path=xl/sharedStrings.xml><?xml version="1.0" encoding="utf-8"?>
<sst xmlns="http://schemas.openxmlformats.org/spreadsheetml/2006/main" count="13" uniqueCount="13">
  <si>
    <t xml:space="preserve">Ft</t>
  </si>
  <si>
    <t xml:space="preserve">N</t>
  </si>
  <si>
    <t xml:space="preserve">t2 (afsæt) (s)</t>
  </si>
  <si>
    <t xml:space="preserve">masse:</t>
  </si>
  <si>
    <t xml:space="preserve">v0 (m/s)</t>
  </si>
  <si>
    <t xml:space="preserve">t</t>
  </si>
  <si>
    <t xml:space="preserve">F</t>
  </si>
  <si>
    <t xml:space="preserve">Fres</t>
  </si>
  <si>
    <t xml:space="preserve">Bidrag</t>
  </si>
  <si>
    <t xml:space="preserve">delta p</t>
  </si>
  <si>
    <t xml:space="preserve">v = delta p/m</t>
  </si>
  <si>
    <t xml:space="preserve">h = v0^2/(2g) (m)</t>
  </si>
  <si>
    <t xml:space="preserve">Afsætsrække = række 145 (gul): første række hvor F er tæt på 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</si>
</sst>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"/>
      <family val="0"/>
      <charset val="1"/>
    </font>
    <font>
      <sz val="10"/>
      <name val="Arial"/>
      <family val="2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Kraft fra platformen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"Kraft fra platformen"</c:f>
              <c:strCache>
                <c:ptCount val="1"/>
                <c:pt idx="0">
                  <c:v>Kraft fra platformen</c:v>
                </c:pt>
              </c:strCache>
            </c:strRef>
          </c:tx>
          <c:spPr>
            <a:solidFill>
              <a:srgbClr val="196b24"/>
            </a:solidFill>
            <a:ln w="633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Ark1!$A$4:$A$167</c:f>
              <c:numCache>
                <c:formatCode>General</c:formatCode>
                <c:ptCount val="16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</c:v>
                </c:pt>
                <c:pt idx="56">
                  <c:v>1.12</c:v>
                </c:pt>
                <c:pt idx="57">
                  <c:v>1.14</c:v>
                </c:pt>
                <c:pt idx="58">
                  <c:v>1.16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</c:v>
                </c:pt>
                <c:pt idx="110">
                  <c:v>2.2</c:v>
                </c:pt>
                <c:pt idx="111">
                  <c:v>2.22</c:v>
                </c:pt>
                <c:pt idx="112">
                  <c:v>2.24</c:v>
                </c:pt>
                <c:pt idx="113">
                  <c:v>2.26</c:v>
                </c:pt>
                <c:pt idx="114">
                  <c:v>2.28</c:v>
                </c:pt>
                <c:pt idx="115">
                  <c:v>2.3</c:v>
                </c:pt>
                <c:pt idx="116">
                  <c:v>2.32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</c:numCache>
            </c:numRef>
          </c:xVal>
          <c:yVal>
            <c:numRef>
              <c:f>Ark1!$B$4:$B$167</c:f>
              <c:numCache>
                <c:formatCode>General</c:formatCode>
                <c:ptCount val="164"/>
                <c:pt idx="0">
                  <c:v>852.584432723</c:v>
                </c:pt>
                <c:pt idx="1">
                  <c:v>851.363431502</c:v>
                </c:pt>
                <c:pt idx="2">
                  <c:v>852.584432723</c:v>
                </c:pt>
                <c:pt idx="3">
                  <c:v>851.363431502</c:v>
                </c:pt>
                <c:pt idx="4">
                  <c:v>851.363431502</c:v>
                </c:pt>
                <c:pt idx="5">
                  <c:v>851.363431502</c:v>
                </c:pt>
                <c:pt idx="6">
                  <c:v>851.363431502</c:v>
                </c:pt>
                <c:pt idx="7">
                  <c:v>852.584432723</c:v>
                </c:pt>
                <c:pt idx="8">
                  <c:v>853.805433944</c:v>
                </c:pt>
                <c:pt idx="9">
                  <c:v>852.584432723</c:v>
                </c:pt>
                <c:pt idx="10">
                  <c:v>852.584432723</c:v>
                </c:pt>
                <c:pt idx="11">
                  <c:v>851.363431502</c:v>
                </c:pt>
                <c:pt idx="12">
                  <c:v>850.142430281</c:v>
                </c:pt>
                <c:pt idx="13">
                  <c:v>848.92142906</c:v>
                </c:pt>
                <c:pt idx="14">
                  <c:v>850.142430281</c:v>
                </c:pt>
                <c:pt idx="15">
                  <c:v>850.142430281</c:v>
                </c:pt>
                <c:pt idx="16">
                  <c:v>851.363431502</c:v>
                </c:pt>
                <c:pt idx="17">
                  <c:v>852.584432723</c:v>
                </c:pt>
                <c:pt idx="18">
                  <c:v>852.584432723</c:v>
                </c:pt>
                <c:pt idx="19">
                  <c:v>852.584432723</c:v>
                </c:pt>
                <c:pt idx="20">
                  <c:v>851.363431502</c:v>
                </c:pt>
                <c:pt idx="21">
                  <c:v>850.142430281</c:v>
                </c:pt>
                <c:pt idx="22">
                  <c:v>851.363431502</c:v>
                </c:pt>
                <c:pt idx="23">
                  <c:v>852.584432723</c:v>
                </c:pt>
                <c:pt idx="24">
                  <c:v>852.584432723</c:v>
                </c:pt>
                <c:pt idx="25">
                  <c:v>851.363431502</c:v>
                </c:pt>
                <c:pt idx="26">
                  <c:v>851.363431502</c:v>
                </c:pt>
                <c:pt idx="27">
                  <c:v>852.584432723</c:v>
                </c:pt>
                <c:pt idx="28">
                  <c:v>852.584432723</c:v>
                </c:pt>
                <c:pt idx="29">
                  <c:v>851.363431502</c:v>
                </c:pt>
                <c:pt idx="30">
                  <c:v>850.142430281</c:v>
                </c:pt>
                <c:pt idx="31">
                  <c:v>850.142430281</c:v>
                </c:pt>
                <c:pt idx="32">
                  <c:v>851.363431502</c:v>
                </c:pt>
                <c:pt idx="33">
                  <c:v>852.584432723</c:v>
                </c:pt>
                <c:pt idx="34">
                  <c:v>853.805433944</c:v>
                </c:pt>
                <c:pt idx="35">
                  <c:v>853.805433944</c:v>
                </c:pt>
                <c:pt idx="36">
                  <c:v>852.584432723</c:v>
                </c:pt>
                <c:pt idx="37">
                  <c:v>852.584432723</c:v>
                </c:pt>
                <c:pt idx="38">
                  <c:v>851.363431502</c:v>
                </c:pt>
                <c:pt idx="39">
                  <c:v>851.363431502</c:v>
                </c:pt>
                <c:pt idx="40">
                  <c:v>850.142430281</c:v>
                </c:pt>
                <c:pt idx="41">
                  <c:v>850.142430281</c:v>
                </c:pt>
                <c:pt idx="42">
                  <c:v>848.92142906</c:v>
                </c:pt>
                <c:pt idx="43">
                  <c:v>848.92142906</c:v>
                </c:pt>
                <c:pt idx="44">
                  <c:v>848.92142906</c:v>
                </c:pt>
                <c:pt idx="45">
                  <c:v>850.142430281</c:v>
                </c:pt>
                <c:pt idx="46">
                  <c:v>851.363431502</c:v>
                </c:pt>
                <c:pt idx="47">
                  <c:v>852.584432723</c:v>
                </c:pt>
                <c:pt idx="48">
                  <c:v>852.584432723</c:v>
                </c:pt>
                <c:pt idx="49">
                  <c:v>852.584432723</c:v>
                </c:pt>
                <c:pt idx="50">
                  <c:v>852.584432723</c:v>
                </c:pt>
                <c:pt idx="51">
                  <c:v>851.363431502</c:v>
                </c:pt>
                <c:pt idx="52">
                  <c:v>851.363431502</c:v>
                </c:pt>
                <c:pt idx="53">
                  <c:v>850.142430281</c:v>
                </c:pt>
                <c:pt idx="54">
                  <c:v>850.142430281</c:v>
                </c:pt>
                <c:pt idx="55">
                  <c:v>850.142430281</c:v>
                </c:pt>
                <c:pt idx="56">
                  <c:v>850.142430281</c:v>
                </c:pt>
                <c:pt idx="57">
                  <c:v>850.142430281</c:v>
                </c:pt>
                <c:pt idx="58">
                  <c:v>851.363431502</c:v>
                </c:pt>
                <c:pt idx="59">
                  <c:v>851.363431502</c:v>
                </c:pt>
                <c:pt idx="60">
                  <c:v>850.142430281</c:v>
                </c:pt>
                <c:pt idx="61">
                  <c:v>848.92142906</c:v>
                </c:pt>
                <c:pt idx="62">
                  <c:v>850.142430281</c:v>
                </c:pt>
                <c:pt idx="63">
                  <c:v>851.363431502</c:v>
                </c:pt>
                <c:pt idx="64">
                  <c:v>852.584432723</c:v>
                </c:pt>
                <c:pt idx="65">
                  <c:v>853.805433944</c:v>
                </c:pt>
                <c:pt idx="66">
                  <c:v>853.805433944</c:v>
                </c:pt>
                <c:pt idx="67">
                  <c:v>851.363431502</c:v>
                </c:pt>
                <c:pt idx="68">
                  <c:v>850.142430281</c:v>
                </c:pt>
                <c:pt idx="69">
                  <c:v>848.92142906</c:v>
                </c:pt>
                <c:pt idx="70">
                  <c:v>848.92142906</c:v>
                </c:pt>
                <c:pt idx="71">
                  <c:v>850.142430281</c:v>
                </c:pt>
                <c:pt idx="72">
                  <c:v>851.363431502</c:v>
                </c:pt>
                <c:pt idx="73">
                  <c:v>851.363431502</c:v>
                </c:pt>
                <c:pt idx="74">
                  <c:v>852.584432723</c:v>
                </c:pt>
                <c:pt idx="75">
                  <c:v>852.584432723</c:v>
                </c:pt>
                <c:pt idx="76">
                  <c:v>850.142430281</c:v>
                </c:pt>
                <c:pt idx="77">
                  <c:v>850.142430281</c:v>
                </c:pt>
                <c:pt idx="78">
                  <c:v>850.142430281</c:v>
                </c:pt>
                <c:pt idx="79">
                  <c:v>850.142430281</c:v>
                </c:pt>
                <c:pt idx="80">
                  <c:v>851.363431502</c:v>
                </c:pt>
                <c:pt idx="81">
                  <c:v>852.584432723</c:v>
                </c:pt>
                <c:pt idx="82">
                  <c:v>852.584432723</c:v>
                </c:pt>
                <c:pt idx="83">
                  <c:v>850.142430281</c:v>
                </c:pt>
                <c:pt idx="84">
                  <c:v>847.700427839</c:v>
                </c:pt>
                <c:pt idx="85">
                  <c:v>844.037424176</c:v>
                </c:pt>
                <c:pt idx="86">
                  <c:v>841.595421734</c:v>
                </c:pt>
                <c:pt idx="87">
                  <c:v>842.816422955</c:v>
                </c:pt>
                <c:pt idx="88">
                  <c:v>841.595421734</c:v>
                </c:pt>
                <c:pt idx="89">
                  <c:v>837.932418071</c:v>
                </c:pt>
                <c:pt idx="90">
                  <c:v>837.932418071</c:v>
                </c:pt>
                <c:pt idx="91">
                  <c:v>839.153419292</c:v>
                </c:pt>
                <c:pt idx="92">
                  <c:v>836.71141685</c:v>
                </c:pt>
                <c:pt idx="93">
                  <c:v>825.722405861</c:v>
                </c:pt>
                <c:pt idx="94">
                  <c:v>804.965385104</c:v>
                </c:pt>
                <c:pt idx="95">
                  <c:v>781.766361905</c:v>
                </c:pt>
                <c:pt idx="96">
                  <c:v>753.683333822</c:v>
                </c:pt>
                <c:pt idx="97">
                  <c:v>729.263309402</c:v>
                </c:pt>
                <c:pt idx="98">
                  <c:v>712.169292308</c:v>
                </c:pt>
                <c:pt idx="99">
                  <c:v>690.19127033</c:v>
                </c:pt>
                <c:pt idx="100">
                  <c:v>660.887241026</c:v>
                </c:pt>
                <c:pt idx="101">
                  <c:v>646.235226374</c:v>
                </c:pt>
                <c:pt idx="102">
                  <c:v>621.815201954</c:v>
                </c:pt>
                <c:pt idx="103">
                  <c:v>583.964164103</c:v>
                </c:pt>
                <c:pt idx="104">
                  <c:v>535.124115263</c:v>
                </c:pt>
                <c:pt idx="105">
                  <c:v>507.041087179</c:v>
                </c:pt>
                <c:pt idx="106">
                  <c:v>500.936081074</c:v>
                </c:pt>
                <c:pt idx="107">
                  <c:v>526.577106716</c:v>
                </c:pt>
                <c:pt idx="108">
                  <c:v>594.953175092</c:v>
                </c:pt>
                <c:pt idx="109">
                  <c:v>657.224237363</c:v>
                </c:pt>
                <c:pt idx="110">
                  <c:v>709.727289866</c:v>
                </c:pt>
                <c:pt idx="111">
                  <c:v>739.03131917</c:v>
                </c:pt>
                <c:pt idx="112">
                  <c:v>770.777350916</c:v>
                </c:pt>
                <c:pt idx="113">
                  <c:v>801.302381441</c:v>
                </c:pt>
                <c:pt idx="114">
                  <c:v>863.573443712</c:v>
                </c:pt>
                <c:pt idx="115">
                  <c:v>894.098474237</c:v>
                </c:pt>
                <c:pt idx="116">
                  <c:v>909.97149011</c:v>
                </c:pt>
                <c:pt idx="117">
                  <c:v>957.590537729</c:v>
                </c:pt>
                <c:pt idx="118">
                  <c:v>1001.54658168</c:v>
                </c:pt>
                <c:pt idx="119">
                  <c:v>1043.0606232</c:v>
                </c:pt>
                <c:pt idx="120">
                  <c:v>1102.88968303</c:v>
                </c:pt>
                <c:pt idx="121">
                  <c:v>1185.91776606</c:v>
                </c:pt>
                <c:pt idx="122">
                  <c:v>1270.16685031</c:v>
                </c:pt>
                <c:pt idx="123">
                  <c:v>1365.40494554</c:v>
                </c:pt>
                <c:pt idx="124">
                  <c:v>1470.41105055</c:v>
                </c:pt>
                <c:pt idx="125">
                  <c:v>1565.64914579</c:v>
                </c:pt>
                <c:pt idx="126">
                  <c:v>1627.92020806</c:v>
                </c:pt>
                <c:pt idx="127">
                  <c:v>1681.64426178</c:v>
                </c:pt>
                <c:pt idx="128">
                  <c:v>1759.78833993</c:v>
                </c:pt>
                <c:pt idx="129">
                  <c:v>1811.07039121</c:v>
                </c:pt>
                <c:pt idx="130">
                  <c:v>1835.49041563</c:v>
                </c:pt>
                <c:pt idx="131">
                  <c:v>1861.13144127</c:v>
                </c:pt>
                <c:pt idx="132">
                  <c:v>1898.98247912</c:v>
                </c:pt>
                <c:pt idx="133">
                  <c:v>1942.93852308</c:v>
                </c:pt>
                <c:pt idx="134">
                  <c:v>1950.2645304</c:v>
                </c:pt>
                <c:pt idx="135">
                  <c:v>1913.63449377</c:v>
                </c:pt>
                <c:pt idx="136">
                  <c:v>1859.91044005</c:v>
                </c:pt>
                <c:pt idx="137">
                  <c:v>1806.18638632</c:v>
                </c:pt>
                <c:pt idx="138">
                  <c:v>1638.90921905</c:v>
                </c:pt>
                <c:pt idx="139">
                  <c:v>1088.23766838</c:v>
                </c:pt>
                <c:pt idx="140">
                  <c:v>156.613736752</c:v>
                </c:pt>
                <c:pt idx="141">
                  <c:v>-3.33742319902</c:v>
                </c:pt>
                <c:pt idx="142">
                  <c:v>-25.315445177</c:v>
                </c:pt>
                <c:pt idx="143">
                  <c:v>1.54658168498</c:v>
                </c:pt>
                <c:pt idx="144">
                  <c:v>5.20958534799</c:v>
                </c:pt>
                <c:pt idx="145">
                  <c:v>0.325580463981</c:v>
                </c:pt>
                <c:pt idx="146">
                  <c:v>-5.77942564103</c:v>
                </c:pt>
                <c:pt idx="147">
                  <c:v>-3.33742319902</c:v>
                </c:pt>
                <c:pt idx="148">
                  <c:v>-2.11642197802</c:v>
                </c:pt>
                <c:pt idx="149">
                  <c:v>0.325580463981</c:v>
                </c:pt>
                <c:pt idx="150">
                  <c:v>-0.895420757021</c:v>
                </c:pt>
                <c:pt idx="151">
                  <c:v>-0.895420757021</c:v>
                </c:pt>
                <c:pt idx="152">
                  <c:v>-0.895420757021</c:v>
                </c:pt>
                <c:pt idx="153">
                  <c:v>-0.895420757021</c:v>
                </c:pt>
                <c:pt idx="154">
                  <c:v>-0.895420757021</c:v>
                </c:pt>
                <c:pt idx="155">
                  <c:v>-0.895420757021</c:v>
                </c:pt>
                <c:pt idx="156">
                  <c:v>-0.895420757021</c:v>
                </c:pt>
                <c:pt idx="157">
                  <c:v>-0.895420757021</c:v>
                </c:pt>
                <c:pt idx="158">
                  <c:v>-0.895420757021</c:v>
                </c:pt>
                <c:pt idx="159">
                  <c:v>-0.895420757021</c:v>
                </c:pt>
                <c:pt idx="160">
                  <c:v>-0.895420757021</c:v>
                </c:pt>
                <c:pt idx="161">
                  <c:v>-0.895420757021</c:v>
                </c:pt>
                <c:pt idx="162">
                  <c:v>-0.895420757021</c:v>
                </c:pt>
                <c:pt idx="163">
                  <c:v>-0.895420757021</c:v>
                </c:pt>
              </c:numCache>
            </c:numRef>
          </c:yVal>
          <c:smooth val="0"/>
        </c:ser>
        <c:axId val="82205790"/>
        <c:axId val="56076220"/>
      </c:scatterChart>
      <c:valAx>
        <c:axId val="82205790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6076220"/>
        <c:crosses val="autoZero"/>
        <c:crossBetween val="midCat"/>
      </c:valAx>
      <c:valAx>
        <c:axId val="5607622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F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22057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Hastighed v(t)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"Hastighed v(t)"</c:f>
              <c:strCache>
                <c:ptCount val="1"/>
                <c:pt idx="0">
                  <c:v>Hastighed v(t)</c:v>
                </c:pt>
              </c:strCache>
            </c:strRef>
          </c:tx>
          <c:spPr>
            <a:solidFill>
              <a:srgbClr val="196b24"/>
            </a:solidFill>
            <a:ln w="633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Ark1!$A$4:$A$167</c:f>
              <c:numCache>
                <c:formatCode>General</c:formatCode>
                <c:ptCount val="16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</c:v>
                </c:pt>
                <c:pt idx="56">
                  <c:v>1.12</c:v>
                </c:pt>
                <c:pt idx="57">
                  <c:v>1.14</c:v>
                </c:pt>
                <c:pt idx="58">
                  <c:v>1.16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</c:v>
                </c:pt>
                <c:pt idx="110">
                  <c:v>2.2</c:v>
                </c:pt>
                <c:pt idx="111">
                  <c:v>2.22</c:v>
                </c:pt>
                <c:pt idx="112">
                  <c:v>2.24</c:v>
                </c:pt>
                <c:pt idx="113">
                  <c:v>2.26</c:v>
                </c:pt>
                <c:pt idx="114">
                  <c:v>2.28</c:v>
                </c:pt>
                <c:pt idx="115">
                  <c:v>2.3</c:v>
                </c:pt>
                <c:pt idx="116">
                  <c:v>2.32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</c:numCache>
            </c:numRef>
          </c:xVal>
          <c:yVal>
            <c:numRef>
              <c:f>Ark1!$F$4:$F$167</c:f>
              <c:numCache>
                <c:formatCode>General</c:formatCode>
                <c:ptCount val="164"/>
                <c:pt idx="0">
                  <c:v>0</c:v>
                </c:pt>
                <c:pt idx="1">
                  <c:v>0.000154930321784324</c:v>
                </c:pt>
                <c:pt idx="2">
                  <c:v>0.000309860643568648</c:v>
                </c:pt>
                <c:pt idx="3">
                  <c:v>0.000464790965352972</c:v>
                </c:pt>
                <c:pt idx="4">
                  <c:v>0.000478875540060632</c:v>
                </c:pt>
                <c:pt idx="5">
                  <c:v>0.000492960114768292</c:v>
                </c:pt>
                <c:pt idx="6">
                  <c:v>0.000507044689475952</c:v>
                </c:pt>
                <c:pt idx="7">
                  <c:v>0.000661975011260276</c:v>
                </c:pt>
                <c:pt idx="8">
                  <c:v>0.00109859682719794</c:v>
                </c:pt>
                <c:pt idx="9">
                  <c:v>0.00153521864313561</c:v>
                </c:pt>
                <c:pt idx="10">
                  <c:v>0.00183099471199659</c:v>
                </c:pt>
                <c:pt idx="11">
                  <c:v>0.00198592503378092</c:v>
                </c:pt>
                <c:pt idx="12">
                  <c:v>0.0018591638614119</c:v>
                </c:pt>
                <c:pt idx="13">
                  <c:v>0.00145071119488954</c:v>
                </c:pt>
                <c:pt idx="14">
                  <c:v>0.00104225852836718</c:v>
                </c:pt>
                <c:pt idx="15">
                  <c:v>0.000774651608921489</c:v>
                </c:pt>
                <c:pt idx="16">
                  <c:v>0.000647890436552471</c:v>
                </c:pt>
                <c:pt idx="17">
                  <c:v>0.000802820758336795</c:v>
                </c:pt>
                <c:pt idx="18">
                  <c:v>0.00109859682719778</c:v>
                </c:pt>
                <c:pt idx="19">
                  <c:v>0.00139437289605877</c:v>
                </c:pt>
                <c:pt idx="20">
                  <c:v>0.0015493032178431</c:v>
                </c:pt>
                <c:pt idx="21">
                  <c:v>0.00142254204547408</c:v>
                </c:pt>
                <c:pt idx="22">
                  <c:v>0.00129578087310506</c:v>
                </c:pt>
                <c:pt idx="23">
                  <c:v>0.00145071119488938</c:v>
                </c:pt>
                <c:pt idx="24">
                  <c:v>0.00174648726375037</c:v>
                </c:pt>
                <c:pt idx="25">
                  <c:v>0.0019014175855347</c:v>
                </c:pt>
                <c:pt idx="26">
                  <c:v>0.00191550216024236</c:v>
                </c:pt>
                <c:pt idx="27">
                  <c:v>0.00207043248202668</c:v>
                </c:pt>
                <c:pt idx="28">
                  <c:v>0.00236620855088767</c:v>
                </c:pt>
                <c:pt idx="29">
                  <c:v>0.00252113887267199</c:v>
                </c:pt>
                <c:pt idx="30">
                  <c:v>0.00239437770030297</c:v>
                </c:pt>
                <c:pt idx="31">
                  <c:v>0.00212677078085728</c:v>
                </c:pt>
                <c:pt idx="32">
                  <c:v>0.00200000960848826</c:v>
                </c:pt>
                <c:pt idx="33">
                  <c:v>0.00215493993027259</c:v>
                </c:pt>
                <c:pt idx="34">
                  <c:v>0.00259156174621025</c:v>
                </c:pt>
                <c:pt idx="35">
                  <c:v>0.00316902930922459</c:v>
                </c:pt>
                <c:pt idx="36">
                  <c:v>0.00360565112516226</c:v>
                </c:pt>
                <c:pt idx="37">
                  <c:v>0.00390142719402325</c:v>
                </c:pt>
                <c:pt idx="38">
                  <c:v>0.00405635751580757</c:v>
                </c:pt>
                <c:pt idx="39">
                  <c:v>0.00407044209051523</c:v>
                </c:pt>
                <c:pt idx="40">
                  <c:v>0.00394368091814621</c:v>
                </c:pt>
                <c:pt idx="41">
                  <c:v>0.00367607399870052</c:v>
                </c:pt>
                <c:pt idx="42">
                  <c:v>0.00326762133217816</c:v>
                </c:pt>
                <c:pt idx="43">
                  <c:v>0.00271832291857914</c:v>
                </c:pt>
                <c:pt idx="44">
                  <c:v>0.00216902450498011</c:v>
                </c:pt>
                <c:pt idx="45">
                  <c:v>0.00176057183845775</c:v>
                </c:pt>
                <c:pt idx="46">
                  <c:v>0.00163381066608874</c:v>
                </c:pt>
                <c:pt idx="47">
                  <c:v>0.00178874098787306</c:v>
                </c:pt>
                <c:pt idx="48">
                  <c:v>0.00208451705673405</c:v>
                </c:pt>
                <c:pt idx="49">
                  <c:v>0.00238029312559504</c:v>
                </c:pt>
                <c:pt idx="50">
                  <c:v>0.00267606919445602</c:v>
                </c:pt>
                <c:pt idx="51">
                  <c:v>0.00283099951624035</c:v>
                </c:pt>
                <c:pt idx="52">
                  <c:v>0.00284508409094801</c:v>
                </c:pt>
                <c:pt idx="53">
                  <c:v>0.00271832291857899</c:v>
                </c:pt>
                <c:pt idx="54">
                  <c:v>0.0024507159991333</c:v>
                </c:pt>
                <c:pt idx="55">
                  <c:v>0.0021831090796876</c:v>
                </c:pt>
                <c:pt idx="56">
                  <c:v>0.00191550216024191</c:v>
                </c:pt>
                <c:pt idx="57">
                  <c:v>0.00164789524079621</c:v>
                </c:pt>
                <c:pt idx="58">
                  <c:v>0.0015211340684272</c:v>
                </c:pt>
                <c:pt idx="59">
                  <c:v>0.00153521864313486</c:v>
                </c:pt>
                <c:pt idx="60">
                  <c:v>0.00140845747076584</c:v>
                </c:pt>
                <c:pt idx="61">
                  <c:v>0.00100000480424348</c:v>
                </c:pt>
                <c:pt idx="62">
                  <c:v>0.00059155213772112</c:v>
                </c:pt>
                <c:pt idx="63">
                  <c:v>0.000464790965352103</c:v>
                </c:pt>
                <c:pt idx="64">
                  <c:v>0.000619721287136427</c:v>
                </c:pt>
                <c:pt idx="65">
                  <c:v>0.00105634310307409</c:v>
                </c:pt>
                <c:pt idx="66">
                  <c:v>0.00163381066608844</c:v>
                </c:pt>
                <c:pt idx="67">
                  <c:v>0.00192958673494944</c:v>
                </c:pt>
                <c:pt idx="68">
                  <c:v>0.00180282556258042</c:v>
                </c:pt>
                <c:pt idx="69">
                  <c:v>0.00139437289605807</c:v>
                </c:pt>
                <c:pt idx="70">
                  <c:v>0.000845074482459042</c:v>
                </c:pt>
                <c:pt idx="71">
                  <c:v>0.000436621815936683</c:v>
                </c:pt>
                <c:pt idx="72">
                  <c:v>0.000309860643567666</c:v>
                </c:pt>
                <c:pt idx="73">
                  <c:v>0.000323945218275325</c:v>
                </c:pt>
                <c:pt idx="74">
                  <c:v>0.000478875540059649</c:v>
                </c:pt>
                <c:pt idx="75">
                  <c:v>0.000774651608920638</c:v>
                </c:pt>
                <c:pt idx="76">
                  <c:v>0.000788736183628285</c:v>
                </c:pt>
                <c:pt idx="77">
                  <c:v>0.00052112926418259</c:v>
                </c:pt>
                <c:pt idx="78">
                  <c:v>0.000253522344736895</c:v>
                </c:pt>
                <c:pt idx="79">
                  <c:v>-1.40845747087999E-005</c:v>
                </c:pt>
                <c:pt idx="80">
                  <c:v>-0.000140845747077817</c:v>
                </c:pt>
                <c:pt idx="81">
                  <c:v>1.40845747065067E-005</c:v>
                </c:pt>
                <c:pt idx="82">
                  <c:v>0.000309860643567492</c:v>
                </c:pt>
                <c:pt idx="83">
                  <c:v>0.000323945218275139</c:v>
                </c:pt>
                <c:pt idx="84">
                  <c:v>-0.000225353195323898</c:v>
                </c:pt>
                <c:pt idx="85">
                  <c:v>-0.0014788803443063</c:v>
                </c:pt>
                <c:pt idx="86">
                  <c:v>-0.00343663622867205</c:v>
                </c:pt>
                <c:pt idx="87">
                  <c:v>-0.00553523786011447</c:v>
                </c:pt>
                <c:pt idx="88">
                  <c:v>-0.0076338394915569</c:v>
                </c:pt>
                <c:pt idx="89">
                  <c:v>-0.010295824111306</c:v>
                </c:pt>
                <c:pt idx="90">
                  <c:v>-0.0133803459722851</c:v>
                </c:pt>
                <c:pt idx="91">
                  <c:v>-0.0163240220861876</c:v>
                </c:pt>
                <c:pt idx="92">
                  <c:v>-0.0194085439471667</c:v>
                </c:pt>
                <c:pt idx="93">
                  <c:v>-0.0240423690259892</c:v>
                </c:pt>
                <c:pt idx="94">
                  <c:v>-0.0323381835288051</c:v>
                </c:pt>
                <c:pt idx="95">
                  <c:v>-0.0457044449263812</c:v>
                </c:pt>
                <c:pt idx="96">
                  <c:v>-0.0649862277011775</c:v>
                </c:pt>
                <c:pt idx="97">
                  <c:v>-0.0903243776002707</c:v>
                </c:pt>
                <c:pt idx="98">
                  <c:v>-0.120451282899971</c:v>
                </c:pt>
                <c:pt idx="99">
                  <c:v>-0.155085252106124</c:v>
                </c:pt>
                <c:pt idx="100">
                  <c:v>-0.195634742689498</c:v>
                </c:pt>
                <c:pt idx="101">
                  <c:v>-0.241254680167632</c:v>
                </c:pt>
                <c:pt idx="102">
                  <c:v>-0.291381681552219</c:v>
                </c:pt>
                <c:pt idx="103">
                  <c:v>-0.348691816037717</c:v>
                </c:pt>
                <c:pt idx="104">
                  <c:v>-0.416001998565658</c:v>
                </c:pt>
                <c:pt idx="105">
                  <c:v>-0.492185463159545</c:v>
                </c:pt>
                <c:pt idx="106">
                  <c:v>-0.572312608671694</c:v>
                </c:pt>
                <c:pt idx="107">
                  <c:v>-0.650186222230501</c:v>
                </c:pt>
                <c:pt idx="108">
                  <c:v>-0.717214713264289</c:v>
                </c:pt>
                <c:pt idx="109">
                  <c:v>-0.769172709360873</c:v>
                </c:pt>
                <c:pt idx="110">
                  <c:v>-0.80789120523225</c:v>
                </c:pt>
                <c:pt idx="111">
                  <c:v>-0.83717303604949</c:v>
                </c:pt>
                <c:pt idx="112">
                  <c:v>-0.859412579512897</c:v>
                </c:pt>
                <c:pt idx="113">
                  <c:v>-0.874468989875393</c:v>
                </c:pt>
                <c:pt idx="114">
                  <c:v>-0.878821123460062</c:v>
                </c:pt>
                <c:pt idx="115">
                  <c:v>-0.872468980266904</c:v>
                </c:pt>
                <c:pt idx="116">
                  <c:v>-0.860764698684832</c:v>
                </c:pt>
                <c:pt idx="117">
                  <c:v>-0.841736438254774</c:v>
                </c:pt>
                <c:pt idx="118">
                  <c:v>-0.812144746794542</c:v>
                </c:pt>
                <c:pt idx="119">
                  <c:v>-0.772693853038828</c:v>
                </c:pt>
                <c:pt idx="120">
                  <c:v>-0.721552762274943</c:v>
                </c:pt>
                <c:pt idx="121">
                  <c:v>-0.65393271910274</c:v>
                </c:pt>
                <c:pt idx="122">
                  <c:v>-0.567016808580688</c:v>
                </c:pt>
                <c:pt idx="123">
                  <c:v>-0.459396573239173</c:v>
                </c:pt>
                <c:pt idx="124">
                  <c:v>-0.328677635377545</c:v>
                </c:pt>
                <c:pt idx="125">
                  <c:v>-0.174859994994651</c:v>
                </c:pt>
                <c:pt idx="126">
                  <c:v>-0.0028732532387505</c:v>
                </c:pt>
                <c:pt idx="127">
                  <c:v>0.182493834488857</c:v>
                </c:pt>
                <c:pt idx="128">
                  <c:v>0.383072262900975</c:v>
                </c:pt>
                <c:pt idx="129">
                  <c:v>0.598580340503682</c:v>
                </c:pt>
                <c:pt idx="130">
                  <c:v>0.822820854424912</c:v>
                </c:pt>
                <c:pt idx="131">
                  <c:v>1.05283604397617</c:v>
                </c:pt>
                <c:pt idx="132">
                  <c:v>1.29017521237518</c:v>
                </c:pt>
                <c:pt idx="133">
                  <c:v>1.53695104582868</c:v>
                </c:pt>
                <c:pt idx="134">
                  <c:v>1.78964240065917</c:v>
                </c:pt>
                <c:pt idx="135">
                  <c:v>2.03895345755912</c:v>
                </c:pt>
                <c:pt idx="136">
                  <c:v>2.27784192917587</c:v>
                </c:pt>
                <c:pt idx="137">
                  <c:v>2.50433597504963</c:v>
                </c:pt>
                <c:pt idx="138">
                  <c:v>2.70533694070263</c:v>
                </c:pt>
                <c:pt idx="139">
                  <c:v>2.82352060707547</c:v>
                </c:pt>
                <c:pt idx="140">
                  <c:v>2.77071753649677</c:v>
                </c:pt>
                <c:pt idx="141">
                  <c:v>2.59199836803095</c:v>
                </c:pt>
                <c:pt idx="142">
                  <c:v>2.39229318325071</c:v>
                </c:pt>
                <c:pt idx="143">
                  <c:v>2.19315138145877</c:v>
                </c:pt>
                <c:pt idx="144">
                  <c:v>1.99753072334374</c:v>
                </c:pt>
                <c:pt idx="145">
                  <c:v>1.80176921948164</c:v>
                </c:pt>
                <c:pt idx="146">
                  <c:v>1.60474010389585</c:v>
                </c:pt>
                <c:pt idx="147">
                  <c:v>1.40728845106883</c:v>
                </c:pt>
                <c:pt idx="148">
                  <c:v>1.21025933548304</c:v>
                </c:pt>
                <c:pt idx="149">
                  <c:v>1.01365275713848</c:v>
                </c:pt>
                <c:pt idx="150">
                  <c:v>0.817187024540994</c:v>
                </c:pt>
                <c:pt idx="151">
                  <c:v>0.620580446196433</c:v>
                </c:pt>
                <c:pt idx="152">
                  <c:v>0.423973867851872</c:v>
                </c:pt>
                <c:pt idx="153">
                  <c:v>0.227367289507311</c:v>
                </c:pt>
                <c:pt idx="154">
                  <c:v>0.0307607111627493</c:v>
                </c:pt>
                <c:pt idx="155">
                  <c:v>-0.165845867181812</c:v>
                </c:pt>
                <c:pt idx="156">
                  <c:v>-0.362452445526373</c:v>
                </c:pt>
                <c:pt idx="157">
                  <c:v>-0.559059023870934</c:v>
                </c:pt>
                <c:pt idx="158">
                  <c:v>-0.755665602215496</c:v>
                </c:pt>
                <c:pt idx="159">
                  <c:v>-0.952272180560057</c:v>
                </c:pt>
                <c:pt idx="160">
                  <c:v>-1.14887875890462</c:v>
                </c:pt>
                <c:pt idx="161">
                  <c:v>-1.34548533724918</c:v>
                </c:pt>
                <c:pt idx="162">
                  <c:v>-1.54209191559374</c:v>
                </c:pt>
                <c:pt idx="163">
                  <c:v>-1.7386984939383</c:v>
                </c:pt>
              </c:numCache>
            </c:numRef>
          </c:yVal>
          <c:smooth val="0"/>
        </c:ser>
        <c:axId val="64751906"/>
        <c:axId val="30555149"/>
      </c:scatterChart>
      <c:valAx>
        <c:axId val="64751906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0555149"/>
        <c:crosses val="autoZero"/>
        <c:crossBetween val="midCat"/>
      </c:valAx>
      <c:valAx>
        <c:axId val="3055514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v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475190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0</xdr:rowOff>
    </xdr:from>
    <xdr:to>
      <xdr:col>12</xdr:col>
      <xdr:colOff>303840</xdr:colOff>
      <xdr:row>19</xdr:row>
      <xdr:rowOff>79200</xdr:rowOff>
    </xdr:to>
    <xdr:graphicFrame>
      <xdr:nvGraphicFramePr>
        <xdr:cNvPr id="0" name="Chart 1"/>
        <xdr:cNvGraphicFramePr/>
      </xdr:nvGraphicFramePr>
      <xdr:xfrm>
        <a:off x="7281000" y="10000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12</xdr:col>
      <xdr:colOff>303840</xdr:colOff>
      <xdr:row>36</xdr:row>
      <xdr:rowOff>79200</xdr:rowOff>
    </xdr:to>
    <xdr:graphicFrame>
      <xdr:nvGraphicFramePr>
        <xdr:cNvPr id="1" name="Chart 2"/>
        <xdr:cNvGraphicFramePr/>
      </xdr:nvGraphicFramePr>
      <xdr:xfrm>
        <a:off x="7281000" y="44006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7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F3" activeCellId="0" sqref="F3"/>
    </sheetView>
  </sheetViews>
  <sheetFormatPr defaultColWidth="10.4921875" defaultRowHeight="15.75" zeroHeight="false" outlineLevelRow="0" outlineLevelCol="0"/>
  <cols>
    <col collapsed="false" customWidth="true" hidden="false" outlineLevel="0" max="6" min="6" style="0" width="12"/>
  </cols>
  <sheetData>
    <row r="1" customFormat="false" ht="15.75" hidden="false" customHeight="false" outlineLevel="0" collapsed="false">
      <c r="A1" s="1" t="s">
        <v>0</v>
      </c>
      <c r="B1" s="1" t="n">
        <f aca="false">AVERAGE(B4:B83)</f>
        <v>851.30238144095</v>
      </c>
      <c r="C1" s="2" t="s">
        <v>1</v>
      </c>
      <c r="H1" s="2" t="s">
        <v>2</v>
      </c>
      <c r="I1" s="2" t="n">
        <f aca="false">A145</f>
        <v>2.82</v>
      </c>
    </row>
    <row r="2" customFormat="false" ht="15.75" hidden="false" customHeight="false" outlineLevel="0" collapsed="false">
      <c r="A2" s="1" t="s">
        <v>3</v>
      </c>
      <c r="B2" s="1" t="n">
        <f aca="false">B1/9.82</f>
        <v>86.6906702078361</v>
      </c>
      <c r="H2" s="2" t="s">
        <v>4</v>
      </c>
      <c r="I2" s="2" t="n">
        <f aca="false">F145</f>
        <v>2.59199836803095</v>
      </c>
    </row>
    <row r="3" customFormat="false" ht="15.75" hidden="false" customHeight="false" outlineLevel="0" collapsed="false">
      <c r="A3" s="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  <c r="H3" s="2" t="s">
        <v>11</v>
      </c>
      <c r="I3" s="2" t="n">
        <f aca="false">I2^2/(2*9.82)</f>
        <v>0.342080220971238</v>
      </c>
    </row>
    <row r="4" customFormat="false" ht="15.75" hidden="false" customHeight="false" outlineLevel="0" collapsed="false">
      <c r="A4" s="0" t="n">
        <v>0</v>
      </c>
      <c r="B4" s="0" t="n">
        <v>852.584432723</v>
      </c>
      <c r="C4" s="0" t="n">
        <f aca="false">B4-$B$1</f>
        <v>1.28205128204991</v>
      </c>
      <c r="E4" s="0" t="n">
        <v>0</v>
      </c>
      <c r="F4" s="0" t="n">
        <f aca="false">E4/$B$2</f>
        <v>0</v>
      </c>
      <c r="H4" s="0" t="s">
        <v>12</v>
      </c>
    </row>
    <row r="5" customFormat="false" ht="15.75" hidden="false" customHeight="false" outlineLevel="0" collapsed="false">
      <c r="A5" s="0" t="n">
        <v>0.02</v>
      </c>
      <c r="B5" s="0" t="n">
        <v>851.363431502</v>
      </c>
      <c r="C5" s="0" t="n">
        <f aca="false">B5-$B$1</f>
        <v>0.0610500610499685</v>
      </c>
      <c r="D5" s="0" t="n">
        <f aca="false">(C4+C5)/2*(A5-A4)</f>
        <v>0.0134310134309987</v>
      </c>
      <c r="E5" s="0" t="n">
        <f aca="false">E4+D5</f>
        <v>0.0134310134309987</v>
      </c>
      <c r="F5" s="0" t="n">
        <f aca="false">E5/$B$2</f>
        <v>0.000154930321784324</v>
      </c>
    </row>
    <row r="6" customFormat="false" ht="15.75" hidden="false" customHeight="false" outlineLevel="0" collapsed="false">
      <c r="A6" s="0" t="n">
        <v>0.04</v>
      </c>
      <c r="B6" s="0" t="n">
        <v>852.584432723</v>
      </c>
      <c r="C6" s="0" t="n">
        <f aca="false">B6-$B$1</f>
        <v>1.28205128204991</v>
      </c>
      <c r="D6" s="0" t="n">
        <f aca="false">(C5+C6)/2*(A6-A5)</f>
        <v>0.0134310134309987</v>
      </c>
      <c r="E6" s="0" t="n">
        <f aca="false">E5+D6</f>
        <v>0.0268620268619975</v>
      </c>
      <c r="F6" s="0" t="n">
        <f aca="false">E6/$B$2</f>
        <v>0.000309860643568648</v>
      </c>
    </row>
    <row r="7" customFormat="false" ht="15.75" hidden="false" customHeight="false" outlineLevel="0" collapsed="false">
      <c r="A7" s="0" t="n">
        <v>0.06</v>
      </c>
      <c r="B7" s="0" t="n">
        <v>851.363431502</v>
      </c>
      <c r="C7" s="0" t="n">
        <f aca="false">B7-$B$1</f>
        <v>0.0610500610499685</v>
      </c>
      <c r="D7" s="0" t="n">
        <f aca="false">(C6+C7)/2*(A7-A6)</f>
        <v>0.0134310134309987</v>
      </c>
      <c r="E7" s="0" t="n">
        <f aca="false">E6+D7</f>
        <v>0.0402930402929962</v>
      </c>
      <c r="F7" s="0" t="n">
        <f aca="false">E7/$B$2</f>
        <v>0.000464790965352972</v>
      </c>
    </row>
    <row r="8" customFormat="false" ht="15.75" hidden="false" customHeight="false" outlineLevel="0" collapsed="false">
      <c r="A8" s="0" t="n">
        <v>0.08</v>
      </c>
      <c r="B8" s="0" t="n">
        <v>851.363431502</v>
      </c>
      <c r="C8" s="0" t="n">
        <f aca="false">B8-$B$1</f>
        <v>0.0610500610499685</v>
      </c>
      <c r="D8" s="0" t="n">
        <f aca="false">(C7+C8)/2*(A8-A7)</f>
        <v>0.00122100122099937</v>
      </c>
      <c r="E8" s="0" t="n">
        <f aca="false">E7+D8</f>
        <v>0.0415140415139956</v>
      </c>
      <c r="F8" s="0" t="n">
        <f aca="false">E8/$B$2</f>
        <v>0.000478875540060632</v>
      </c>
    </row>
    <row r="9" customFormat="false" ht="15.75" hidden="false" customHeight="false" outlineLevel="0" collapsed="false">
      <c r="A9" s="0" t="n">
        <v>0.1</v>
      </c>
      <c r="B9" s="0" t="n">
        <v>851.363431502</v>
      </c>
      <c r="C9" s="0" t="n">
        <f aca="false">B9-$B$1</f>
        <v>0.0610500610499685</v>
      </c>
      <c r="D9" s="0" t="n">
        <f aca="false">(C8+C9)/2*(A9-A8)</f>
        <v>0.00122100122099937</v>
      </c>
      <c r="E9" s="0" t="n">
        <f aca="false">E8+D9</f>
        <v>0.042735042734995</v>
      </c>
      <c r="F9" s="0" t="n">
        <f aca="false">E9/$B$2</f>
        <v>0.000492960114768292</v>
      </c>
    </row>
    <row r="10" customFormat="false" ht="15.75" hidden="false" customHeight="false" outlineLevel="0" collapsed="false">
      <c r="A10" s="0" t="n">
        <v>0.12</v>
      </c>
      <c r="B10" s="0" t="n">
        <v>851.363431502</v>
      </c>
      <c r="C10" s="0" t="n">
        <f aca="false">B10-$B$1</f>
        <v>0.0610500610499685</v>
      </c>
      <c r="D10" s="0" t="n">
        <f aca="false">(C9+C10)/2*(A10-A9)</f>
        <v>0.00122100122099937</v>
      </c>
      <c r="E10" s="0" t="n">
        <f aca="false">E9+D10</f>
        <v>0.0439560439559943</v>
      </c>
      <c r="F10" s="0" t="n">
        <f aca="false">E10/$B$2</f>
        <v>0.000507044689475952</v>
      </c>
    </row>
    <row r="11" customFormat="false" ht="15.75" hidden="false" customHeight="false" outlineLevel="0" collapsed="false">
      <c r="A11" s="0" t="n">
        <v>0.14</v>
      </c>
      <c r="B11" s="0" t="n">
        <v>852.584432723</v>
      </c>
      <c r="C11" s="0" t="n">
        <f aca="false">B11-$B$1</f>
        <v>1.28205128204991</v>
      </c>
      <c r="D11" s="0" t="n">
        <f aca="false">(C10+C11)/2*(A11-A10)</f>
        <v>0.0134310134309988</v>
      </c>
      <c r="E11" s="0" t="n">
        <f aca="false">E10+D11</f>
        <v>0.0573870573869931</v>
      </c>
      <c r="F11" s="0" t="n">
        <f aca="false">E11/$B$2</f>
        <v>0.000661975011260276</v>
      </c>
    </row>
    <row r="12" customFormat="false" ht="15.75" hidden="false" customHeight="false" outlineLevel="0" collapsed="false">
      <c r="A12" s="0" t="n">
        <v>0.16</v>
      </c>
      <c r="B12" s="0" t="n">
        <v>853.805433944</v>
      </c>
      <c r="C12" s="0" t="n">
        <f aca="false">B12-$B$1</f>
        <v>2.50305250304996</v>
      </c>
      <c r="D12" s="0" t="n">
        <f aca="false">(C11+C12)/2*(A12-A11)</f>
        <v>0.0378510378509986</v>
      </c>
      <c r="E12" s="0" t="n">
        <f aca="false">E11+D12</f>
        <v>0.0952380952379917</v>
      </c>
      <c r="F12" s="0" t="n">
        <f aca="false">E12/$B$2</f>
        <v>0.00109859682719794</v>
      </c>
    </row>
    <row r="13" customFormat="false" ht="15.75" hidden="false" customHeight="false" outlineLevel="0" collapsed="false">
      <c r="A13" s="0" t="n">
        <v>0.18</v>
      </c>
      <c r="B13" s="0" t="n">
        <v>852.584432723</v>
      </c>
      <c r="C13" s="0" t="n">
        <f aca="false">B13-$B$1</f>
        <v>1.28205128204991</v>
      </c>
      <c r="D13" s="0" t="n">
        <f aca="false">(C12+C13)/2*(A13-A12)</f>
        <v>0.0378510378509986</v>
      </c>
      <c r="E13" s="0" t="n">
        <f aca="false">E12+D13</f>
        <v>0.13308913308899</v>
      </c>
      <c r="F13" s="0" t="n">
        <f aca="false">E13/$B$2</f>
        <v>0.00153521864313561</v>
      </c>
    </row>
    <row r="14" customFormat="false" ht="15.75" hidden="false" customHeight="false" outlineLevel="0" collapsed="false">
      <c r="A14" s="0" t="n">
        <v>0.2</v>
      </c>
      <c r="B14" s="0" t="n">
        <v>852.584432723</v>
      </c>
      <c r="C14" s="0" t="n">
        <f aca="false">B14-$B$1</f>
        <v>1.28205128204991</v>
      </c>
      <c r="D14" s="0" t="n">
        <f aca="false">(C13+C14)/2*(A14-A13)</f>
        <v>0.0256410256409981</v>
      </c>
      <c r="E14" s="0" t="n">
        <f aca="false">E13+D14</f>
        <v>0.158730158729989</v>
      </c>
      <c r="F14" s="0" t="n">
        <f aca="false">E14/$B$2</f>
        <v>0.00183099471199659</v>
      </c>
    </row>
    <row r="15" customFormat="false" ht="15.75" hidden="false" customHeight="false" outlineLevel="0" collapsed="false">
      <c r="A15" s="0" t="n">
        <v>0.22</v>
      </c>
      <c r="B15" s="0" t="n">
        <v>851.363431502</v>
      </c>
      <c r="C15" s="0" t="n">
        <f aca="false">B15-$B$1</f>
        <v>0.0610500610499685</v>
      </c>
      <c r="D15" s="0" t="n">
        <f aca="false">(C14+C15)/2*(A15-A14)</f>
        <v>0.0134310134309987</v>
      </c>
      <c r="E15" s="0" t="n">
        <f aca="false">E14+D15</f>
        <v>0.172161172160987</v>
      </c>
      <c r="F15" s="0" t="n">
        <f aca="false">E15/$B$2</f>
        <v>0.00198592503378092</v>
      </c>
    </row>
    <row r="16" customFormat="false" ht="15.75" hidden="false" customHeight="false" outlineLevel="0" collapsed="false">
      <c r="A16" s="0" t="n">
        <v>0.24</v>
      </c>
      <c r="B16" s="0" t="n">
        <v>850.142430281</v>
      </c>
      <c r="C16" s="0" t="n">
        <f aca="false">B16-$B$1</f>
        <v>-1.15995115995008</v>
      </c>
      <c r="D16" s="0" t="n">
        <f aca="false">(C15+C16)/2*(A16-A15)</f>
        <v>-0.0109890109890011</v>
      </c>
      <c r="E16" s="0" t="n">
        <f aca="false">E15+D16</f>
        <v>0.161172161171986</v>
      </c>
      <c r="F16" s="0" t="n">
        <f aca="false">E16/$B$2</f>
        <v>0.0018591638614119</v>
      </c>
    </row>
    <row r="17" customFormat="false" ht="15.75" hidden="false" customHeight="false" outlineLevel="0" collapsed="false">
      <c r="A17" s="0" t="n">
        <v>0.26</v>
      </c>
      <c r="B17" s="0" t="n">
        <v>848.92142906</v>
      </c>
      <c r="C17" s="0" t="n">
        <f aca="false">B17-$B$1</f>
        <v>-2.38095238095002</v>
      </c>
      <c r="D17" s="0" t="n">
        <f aca="false">(C16+C17)/2*(A17-A16)</f>
        <v>-0.0354090354090011</v>
      </c>
      <c r="E17" s="0" t="n">
        <f aca="false">E16+D17</f>
        <v>0.125763125762985</v>
      </c>
      <c r="F17" s="0" t="n">
        <f aca="false">E17/$B$2</f>
        <v>0.00145071119488954</v>
      </c>
    </row>
    <row r="18" customFormat="false" ht="15.75" hidden="false" customHeight="false" outlineLevel="0" collapsed="false">
      <c r="A18" s="0" t="n">
        <v>0.28</v>
      </c>
      <c r="B18" s="0" t="n">
        <v>850.142430281</v>
      </c>
      <c r="C18" s="0" t="n">
        <f aca="false">B18-$B$1</f>
        <v>-1.15995115995008</v>
      </c>
      <c r="D18" s="0" t="n">
        <f aca="false">(C17+C18)/2*(A18-A17)</f>
        <v>-0.0354090354090011</v>
      </c>
      <c r="E18" s="0" t="n">
        <f aca="false">E17+D18</f>
        <v>0.090354090353984</v>
      </c>
      <c r="F18" s="0" t="n">
        <f aca="false">E18/$B$2</f>
        <v>0.00104225852836718</v>
      </c>
    </row>
    <row r="19" customFormat="false" ht="15.75" hidden="false" customHeight="false" outlineLevel="0" collapsed="false">
      <c r="A19" s="0" t="n">
        <v>0.3</v>
      </c>
      <c r="B19" s="0" t="n">
        <v>850.142430281</v>
      </c>
      <c r="C19" s="0" t="n">
        <f aca="false">B19-$B$1</f>
        <v>-1.15995115995008</v>
      </c>
      <c r="D19" s="0" t="n">
        <f aca="false">(C18+C19)/2*(A19-A18)</f>
        <v>-0.0231990231990016</v>
      </c>
      <c r="E19" s="0" t="n">
        <f aca="false">E18+D19</f>
        <v>0.0671550671549824</v>
      </c>
      <c r="F19" s="0" t="n">
        <f aca="false">E19/$B$2</f>
        <v>0.000774651608921489</v>
      </c>
    </row>
    <row r="20" customFormat="false" ht="15.75" hidden="false" customHeight="false" outlineLevel="0" collapsed="false">
      <c r="A20" s="0" t="n">
        <v>0.32</v>
      </c>
      <c r="B20" s="0" t="n">
        <v>851.363431502</v>
      </c>
      <c r="C20" s="0" t="n">
        <f aca="false">B20-$B$1</f>
        <v>0.0610500610499685</v>
      </c>
      <c r="D20" s="0" t="n">
        <f aca="false">(C19+C20)/2*(A20-A19)</f>
        <v>-0.0109890109890012</v>
      </c>
      <c r="E20" s="0" t="n">
        <f aca="false">E19+D20</f>
        <v>0.0561660561659812</v>
      </c>
      <c r="F20" s="0" t="n">
        <f aca="false">E20/$B$2</f>
        <v>0.000647890436552471</v>
      </c>
    </row>
    <row r="21" customFormat="false" ht="15.75" hidden="false" customHeight="false" outlineLevel="0" collapsed="false">
      <c r="A21" s="0" t="n">
        <v>0.34</v>
      </c>
      <c r="B21" s="0" t="n">
        <v>852.584432723</v>
      </c>
      <c r="C21" s="0" t="n">
        <f aca="false">B21-$B$1</f>
        <v>1.28205128204991</v>
      </c>
      <c r="D21" s="0" t="n">
        <f aca="false">(C20+C21)/2*(A21-A20)</f>
        <v>0.0134310134309988</v>
      </c>
      <c r="E21" s="0" t="n">
        <f aca="false">E20+D21</f>
        <v>0.06959706959698</v>
      </c>
      <c r="F21" s="0" t="n">
        <f aca="false">E21/$B$2</f>
        <v>0.000802820758336795</v>
      </c>
    </row>
    <row r="22" customFormat="false" ht="15.75" hidden="false" customHeight="false" outlineLevel="0" collapsed="false">
      <c r="A22" s="0" t="n">
        <v>0.36</v>
      </c>
      <c r="B22" s="0" t="n">
        <v>852.584432723</v>
      </c>
      <c r="C22" s="0" t="n">
        <f aca="false">B22-$B$1</f>
        <v>1.28205128204991</v>
      </c>
      <c r="D22" s="0" t="n">
        <f aca="false">(C21+C22)/2*(A22-A21)</f>
        <v>0.0256410256409981</v>
      </c>
      <c r="E22" s="0" t="n">
        <f aca="false">E21+D22</f>
        <v>0.095238095237978</v>
      </c>
      <c r="F22" s="0" t="n">
        <f aca="false">E22/$B$2</f>
        <v>0.00109859682719778</v>
      </c>
    </row>
    <row r="23" customFormat="false" ht="15.75" hidden="false" customHeight="false" outlineLevel="0" collapsed="false">
      <c r="A23" s="0" t="n">
        <v>0.38</v>
      </c>
      <c r="B23" s="0" t="n">
        <v>852.584432723</v>
      </c>
      <c r="C23" s="0" t="n">
        <f aca="false">B23-$B$1</f>
        <v>1.28205128204991</v>
      </c>
      <c r="D23" s="0" t="n">
        <f aca="false">(C22+C23)/2*(A23-A22)</f>
        <v>0.0256410256409981</v>
      </c>
      <c r="E23" s="0" t="n">
        <f aca="false">E22+D23</f>
        <v>0.120879120878976</v>
      </c>
      <c r="F23" s="0" t="n">
        <f aca="false">E23/$B$2</f>
        <v>0.00139437289605877</v>
      </c>
    </row>
    <row r="24" customFormat="false" ht="15.75" hidden="false" customHeight="false" outlineLevel="0" collapsed="false">
      <c r="A24" s="0" t="n">
        <v>0.4</v>
      </c>
      <c r="B24" s="0" t="n">
        <v>851.363431502</v>
      </c>
      <c r="C24" s="0" t="n">
        <f aca="false">B24-$B$1</f>
        <v>0.0610500610499685</v>
      </c>
      <c r="D24" s="0" t="n">
        <f aca="false">(C23+C24)/2*(A24-A23)</f>
        <v>0.0134310134309988</v>
      </c>
      <c r="E24" s="0" t="n">
        <f aca="false">E23+D24</f>
        <v>0.134310134309975</v>
      </c>
      <c r="F24" s="0" t="n">
        <f aca="false">E24/$B$2</f>
        <v>0.0015493032178431</v>
      </c>
    </row>
    <row r="25" customFormat="false" ht="15.75" hidden="false" customHeight="false" outlineLevel="0" collapsed="false">
      <c r="A25" s="0" t="n">
        <v>0.42</v>
      </c>
      <c r="B25" s="0" t="n">
        <v>850.142430281</v>
      </c>
      <c r="C25" s="0" t="n">
        <f aca="false">B25-$B$1</f>
        <v>-1.15995115995008</v>
      </c>
      <c r="D25" s="0" t="n">
        <f aca="false">(C24+C25)/2*(A25-A24)</f>
        <v>-0.0109890109890011</v>
      </c>
      <c r="E25" s="0" t="n">
        <f aca="false">E24+D25</f>
        <v>0.123321123320974</v>
      </c>
      <c r="F25" s="0" t="n">
        <f aca="false">E25/$B$2</f>
        <v>0.00142254204547408</v>
      </c>
    </row>
    <row r="26" customFormat="false" ht="15.75" hidden="false" customHeight="false" outlineLevel="0" collapsed="false">
      <c r="A26" s="0" t="n">
        <v>0.44</v>
      </c>
      <c r="B26" s="0" t="n">
        <v>851.363431502</v>
      </c>
      <c r="C26" s="0" t="n">
        <f aca="false">B26-$B$1</f>
        <v>0.0610500610499685</v>
      </c>
      <c r="D26" s="0" t="n">
        <f aca="false">(C25+C26)/2*(A26-A25)</f>
        <v>-0.0109890109890012</v>
      </c>
      <c r="E26" s="0" t="n">
        <f aca="false">E25+D26</f>
        <v>0.112332112331973</v>
      </c>
      <c r="F26" s="0" t="n">
        <f aca="false">E26/$B$2</f>
        <v>0.00129578087310506</v>
      </c>
    </row>
    <row r="27" customFormat="false" ht="15.75" hidden="false" customHeight="false" outlineLevel="0" collapsed="false">
      <c r="A27" s="0" t="n">
        <v>0.46</v>
      </c>
      <c r="B27" s="0" t="n">
        <v>852.584432723</v>
      </c>
      <c r="C27" s="0" t="n">
        <f aca="false">B27-$B$1</f>
        <v>1.28205128204991</v>
      </c>
      <c r="D27" s="0" t="n">
        <f aca="false">(C26+C27)/2*(A27-A26)</f>
        <v>0.0134310134309988</v>
      </c>
      <c r="E27" s="0" t="n">
        <f aca="false">E26+D27</f>
        <v>0.125763125762971</v>
      </c>
      <c r="F27" s="0" t="n">
        <f aca="false">E27/$B$2</f>
        <v>0.00145071119488938</v>
      </c>
    </row>
    <row r="28" customFormat="false" ht="15.75" hidden="false" customHeight="false" outlineLevel="0" collapsed="false">
      <c r="A28" s="0" t="n">
        <v>0.48</v>
      </c>
      <c r="B28" s="0" t="n">
        <v>852.584432723</v>
      </c>
      <c r="C28" s="0" t="n">
        <f aca="false">B28-$B$1</f>
        <v>1.28205128204991</v>
      </c>
      <c r="D28" s="0" t="n">
        <f aca="false">(C27+C28)/2*(A28-A27)</f>
        <v>0.0256410256409981</v>
      </c>
      <c r="E28" s="0" t="n">
        <f aca="false">E27+D28</f>
        <v>0.151404151403969</v>
      </c>
      <c r="F28" s="0" t="n">
        <f aca="false">E28/$B$2</f>
        <v>0.00174648726375037</v>
      </c>
    </row>
    <row r="29" customFormat="false" ht="15.75" hidden="false" customHeight="false" outlineLevel="0" collapsed="false">
      <c r="A29" s="0" t="n">
        <v>0.5</v>
      </c>
      <c r="B29" s="0" t="n">
        <v>851.363431502</v>
      </c>
      <c r="C29" s="0" t="n">
        <f aca="false">B29-$B$1</f>
        <v>0.0610500610499685</v>
      </c>
      <c r="D29" s="0" t="n">
        <f aca="false">(C28+C29)/2*(A29-A28)</f>
        <v>0.0134310134309988</v>
      </c>
      <c r="E29" s="0" t="n">
        <f aca="false">E28+D29</f>
        <v>0.164835164834968</v>
      </c>
      <c r="F29" s="0" t="n">
        <f aca="false">E29/$B$2</f>
        <v>0.0019014175855347</v>
      </c>
    </row>
    <row r="30" customFormat="false" ht="15.75" hidden="false" customHeight="false" outlineLevel="0" collapsed="false">
      <c r="A30" s="0" t="n">
        <v>0.52</v>
      </c>
      <c r="B30" s="0" t="n">
        <v>851.363431502</v>
      </c>
      <c r="C30" s="0" t="n">
        <f aca="false">B30-$B$1</f>
        <v>0.0610500610499685</v>
      </c>
      <c r="D30" s="0" t="n">
        <f aca="false">(C29+C30)/2*(A30-A29)</f>
        <v>0.00122100122099937</v>
      </c>
      <c r="E30" s="0" t="n">
        <f aca="false">E29+D30</f>
        <v>0.166056166055968</v>
      </c>
      <c r="F30" s="0" t="n">
        <f aca="false">E30/$B$2</f>
        <v>0.00191550216024236</v>
      </c>
    </row>
    <row r="31" customFormat="false" ht="15.75" hidden="false" customHeight="false" outlineLevel="0" collapsed="false">
      <c r="A31" s="0" t="n">
        <v>0.54</v>
      </c>
      <c r="B31" s="0" t="n">
        <v>852.584432723</v>
      </c>
      <c r="C31" s="0" t="n">
        <f aca="false">B31-$B$1</f>
        <v>1.28205128204991</v>
      </c>
      <c r="D31" s="0" t="n">
        <f aca="false">(C30+C31)/2*(A31-A30)</f>
        <v>0.0134310134309988</v>
      </c>
      <c r="E31" s="0" t="n">
        <f aca="false">E30+D31</f>
        <v>0.179487179486966</v>
      </c>
      <c r="F31" s="0" t="n">
        <f aca="false">E31/$B$2</f>
        <v>0.00207043248202668</v>
      </c>
    </row>
    <row r="32" customFormat="false" ht="15.75" hidden="false" customHeight="false" outlineLevel="0" collapsed="false">
      <c r="A32" s="0" t="n">
        <v>0.56</v>
      </c>
      <c r="B32" s="0" t="n">
        <v>852.584432723</v>
      </c>
      <c r="C32" s="0" t="n">
        <f aca="false">B32-$B$1</f>
        <v>1.28205128204991</v>
      </c>
      <c r="D32" s="0" t="n">
        <f aca="false">(C31+C32)/2*(A32-A31)</f>
        <v>0.0256410256409981</v>
      </c>
      <c r="E32" s="0" t="n">
        <f aca="false">E31+D32</f>
        <v>0.205128205127965</v>
      </c>
      <c r="F32" s="0" t="n">
        <f aca="false">E32/$B$2</f>
        <v>0.00236620855088767</v>
      </c>
    </row>
    <row r="33" customFormat="false" ht="15.75" hidden="false" customHeight="false" outlineLevel="0" collapsed="false">
      <c r="A33" s="0" t="n">
        <v>0.58</v>
      </c>
      <c r="B33" s="0" t="n">
        <v>851.363431502</v>
      </c>
      <c r="C33" s="0" t="n">
        <f aca="false">B33-$B$1</f>
        <v>0.0610500610499685</v>
      </c>
      <c r="D33" s="0" t="n">
        <f aca="false">(C32+C33)/2*(A33-A32)</f>
        <v>0.0134310134309987</v>
      </c>
      <c r="E33" s="0" t="n">
        <f aca="false">E32+D33</f>
        <v>0.218559218558963</v>
      </c>
      <c r="F33" s="0" t="n">
        <f aca="false">E33/$B$2</f>
        <v>0.00252113887267199</v>
      </c>
    </row>
    <row r="34" customFormat="false" ht="15.75" hidden="false" customHeight="false" outlineLevel="0" collapsed="false">
      <c r="A34" s="0" t="n">
        <v>0.6</v>
      </c>
      <c r="B34" s="0" t="n">
        <v>850.142430281</v>
      </c>
      <c r="C34" s="0" t="n">
        <f aca="false">B34-$B$1</f>
        <v>-1.15995115995008</v>
      </c>
      <c r="D34" s="0" t="n">
        <f aca="false">(C33+C34)/2*(A34-A33)</f>
        <v>-0.0109890109890012</v>
      </c>
      <c r="E34" s="0" t="n">
        <f aca="false">E33+D34</f>
        <v>0.207570207569962</v>
      </c>
      <c r="F34" s="0" t="n">
        <f aca="false">E34/$B$2</f>
        <v>0.00239437770030297</v>
      </c>
    </row>
    <row r="35" customFormat="false" ht="15.75" hidden="false" customHeight="false" outlineLevel="0" collapsed="false">
      <c r="A35" s="0" t="n">
        <v>0.62</v>
      </c>
      <c r="B35" s="0" t="n">
        <v>850.142430281</v>
      </c>
      <c r="C35" s="0" t="n">
        <f aca="false">B35-$B$1</f>
        <v>-1.15995115995008</v>
      </c>
      <c r="D35" s="0" t="n">
        <f aca="false">(C34+C35)/2*(A35-A34)</f>
        <v>-0.0231990231990017</v>
      </c>
      <c r="E35" s="0" t="n">
        <f aca="false">E34+D35</f>
        <v>0.18437118437096</v>
      </c>
      <c r="F35" s="0" t="n">
        <f aca="false">E35/$B$2</f>
        <v>0.00212677078085728</v>
      </c>
    </row>
    <row r="36" customFormat="false" ht="15.75" hidden="false" customHeight="false" outlineLevel="0" collapsed="false">
      <c r="A36" s="0" t="n">
        <v>0.64</v>
      </c>
      <c r="B36" s="0" t="n">
        <v>851.363431502</v>
      </c>
      <c r="C36" s="0" t="n">
        <f aca="false">B36-$B$1</f>
        <v>0.0610500610499685</v>
      </c>
      <c r="D36" s="0" t="n">
        <f aca="false">(C35+C36)/2*(A36-A35)</f>
        <v>-0.0109890109890012</v>
      </c>
      <c r="E36" s="0" t="n">
        <f aca="false">E35+D36</f>
        <v>0.173382173381959</v>
      </c>
      <c r="F36" s="0" t="n">
        <f aca="false">E36/$B$2</f>
        <v>0.00200000960848826</v>
      </c>
    </row>
    <row r="37" customFormat="false" ht="15.75" hidden="false" customHeight="false" outlineLevel="0" collapsed="false">
      <c r="A37" s="0" t="n">
        <v>0.66</v>
      </c>
      <c r="B37" s="0" t="n">
        <v>852.584432723</v>
      </c>
      <c r="C37" s="0" t="n">
        <f aca="false">B37-$B$1</f>
        <v>1.28205128204991</v>
      </c>
      <c r="D37" s="0" t="n">
        <f aca="false">(C36+C37)/2*(A37-A36)</f>
        <v>0.0134310134309988</v>
      </c>
      <c r="E37" s="0" t="n">
        <f aca="false">E36+D37</f>
        <v>0.186813186812958</v>
      </c>
      <c r="F37" s="0" t="n">
        <f aca="false">E37/$B$2</f>
        <v>0.00215493993027259</v>
      </c>
    </row>
    <row r="38" customFormat="false" ht="15.75" hidden="false" customHeight="false" outlineLevel="0" collapsed="false">
      <c r="A38" s="0" t="n">
        <v>0.68</v>
      </c>
      <c r="B38" s="0" t="n">
        <v>853.805433944</v>
      </c>
      <c r="C38" s="0" t="n">
        <f aca="false">B38-$B$1</f>
        <v>2.50305250304996</v>
      </c>
      <c r="D38" s="0" t="n">
        <f aca="false">(C37+C38)/2*(A38-A37)</f>
        <v>0.0378510378509987</v>
      </c>
      <c r="E38" s="0" t="n">
        <f aca="false">E37+D38</f>
        <v>0.224664224663957</v>
      </c>
      <c r="F38" s="0" t="n">
        <f aca="false">E38/$B$2</f>
        <v>0.00259156174621025</v>
      </c>
    </row>
    <row r="39" customFormat="false" ht="15.75" hidden="false" customHeight="false" outlineLevel="0" collapsed="false">
      <c r="A39" s="0" t="n">
        <v>0.7</v>
      </c>
      <c r="B39" s="0" t="n">
        <v>853.805433944</v>
      </c>
      <c r="C39" s="0" t="n">
        <f aca="false">B39-$B$1</f>
        <v>2.50305250304996</v>
      </c>
      <c r="D39" s="0" t="n">
        <f aca="false">(C38+C39)/2*(A39-A38)</f>
        <v>0.0500610500609989</v>
      </c>
      <c r="E39" s="0" t="n">
        <f aca="false">E38+D39</f>
        <v>0.274725274724956</v>
      </c>
      <c r="F39" s="0" t="n">
        <f aca="false">E39/$B$2</f>
        <v>0.00316902930922459</v>
      </c>
    </row>
    <row r="40" customFormat="false" ht="15.75" hidden="false" customHeight="false" outlineLevel="0" collapsed="false">
      <c r="A40" s="0" t="n">
        <v>0.72</v>
      </c>
      <c r="B40" s="0" t="n">
        <v>852.584432723</v>
      </c>
      <c r="C40" s="0" t="n">
        <f aca="false">B40-$B$1</f>
        <v>1.28205128204991</v>
      </c>
      <c r="D40" s="0" t="n">
        <f aca="false">(C39+C40)/2*(A40-A39)</f>
        <v>0.0378510378509987</v>
      </c>
      <c r="E40" s="0" t="n">
        <f aca="false">E39+D40</f>
        <v>0.312576312575954</v>
      </c>
      <c r="F40" s="0" t="n">
        <f aca="false">E40/$B$2</f>
        <v>0.00360565112516226</v>
      </c>
    </row>
    <row r="41" customFormat="false" ht="15.75" hidden="false" customHeight="false" outlineLevel="0" collapsed="false">
      <c r="A41" s="0" t="n">
        <v>0.74</v>
      </c>
      <c r="B41" s="0" t="n">
        <v>852.584432723</v>
      </c>
      <c r="C41" s="0" t="n">
        <f aca="false">B41-$B$1</f>
        <v>1.28205128204991</v>
      </c>
      <c r="D41" s="0" t="n">
        <f aca="false">(C40+C41)/2*(A41-A40)</f>
        <v>0.0256410256409981</v>
      </c>
      <c r="E41" s="0" t="n">
        <f aca="false">E40+D41</f>
        <v>0.338217338216952</v>
      </c>
      <c r="F41" s="0" t="n">
        <f aca="false">E41/$B$2</f>
        <v>0.00390142719402325</v>
      </c>
    </row>
    <row r="42" customFormat="false" ht="15.75" hidden="false" customHeight="false" outlineLevel="0" collapsed="false">
      <c r="A42" s="0" t="n">
        <v>0.76</v>
      </c>
      <c r="B42" s="0" t="n">
        <v>851.363431502</v>
      </c>
      <c r="C42" s="0" t="n">
        <f aca="false">B42-$B$1</f>
        <v>0.0610500610499685</v>
      </c>
      <c r="D42" s="0" t="n">
        <f aca="false">(C41+C42)/2*(A42-A41)</f>
        <v>0.0134310134309988</v>
      </c>
      <c r="E42" s="0" t="n">
        <f aca="false">E41+D42</f>
        <v>0.351648351647951</v>
      </c>
      <c r="F42" s="0" t="n">
        <f aca="false">E42/$B$2</f>
        <v>0.00405635751580757</v>
      </c>
    </row>
    <row r="43" customFormat="false" ht="15.75" hidden="false" customHeight="false" outlineLevel="0" collapsed="false">
      <c r="A43" s="0" t="n">
        <v>0.78</v>
      </c>
      <c r="B43" s="0" t="n">
        <v>851.363431502</v>
      </c>
      <c r="C43" s="0" t="n">
        <f aca="false">B43-$B$1</f>
        <v>0.0610500610499685</v>
      </c>
      <c r="D43" s="0" t="n">
        <f aca="false">(C42+C43)/2*(A43-A42)</f>
        <v>0.00122100122099937</v>
      </c>
      <c r="E43" s="0" t="n">
        <f aca="false">E42+D43</f>
        <v>0.352869352868951</v>
      </c>
      <c r="F43" s="0" t="n">
        <f aca="false">E43/$B$2</f>
        <v>0.00407044209051523</v>
      </c>
    </row>
    <row r="44" customFormat="false" ht="15.75" hidden="false" customHeight="false" outlineLevel="0" collapsed="false">
      <c r="A44" s="0" t="n">
        <v>0.8</v>
      </c>
      <c r="B44" s="0" t="n">
        <v>850.142430281</v>
      </c>
      <c r="C44" s="0" t="n">
        <f aca="false">B44-$B$1</f>
        <v>-1.15995115995008</v>
      </c>
      <c r="D44" s="0" t="n">
        <f aca="false">(C43+C44)/2*(A44-A43)</f>
        <v>-0.0109890109890012</v>
      </c>
      <c r="E44" s="0" t="n">
        <f aca="false">E43+D44</f>
        <v>0.341880341879949</v>
      </c>
      <c r="F44" s="0" t="n">
        <f aca="false">E44/$B$2</f>
        <v>0.00394368091814621</v>
      </c>
    </row>
    <row r="45" customFormat="false" ht="15.75" hidden="false" customHeight="false" outlineLevel="0" collapsed="false">
      <c r="A45" s="0" t="n">
        <v>0.82</v>
      </c>
      <c r="B45" s="0" t="n">
        <v>850.142430281</v>
      </c>
      <c r="C45" s="0" t="n">
        <f aca="false">B45-$B$1</f>
        <v>-1.15995115995008</v>
      </c>
      <c r="D45" s="0" t="n">
        <f aca="false">(C44+C45)/2*(A45-A44)</f>
        <v>-0.0231990231990016</v>
      </c>
      <c r="E45" s="0" t="n">
        <f aca="false">E44+D45</f>
        <v>0.318681318680948</v>
      </c>
      <c r="F45" s="0" t="n">
        <f aca="false">E45/$B$2</f>
        <v>0.00367607399870052</v>
      </c>
    </row>
    <row r="46" customFormat="false" ht="15.75" hidden="false" customHeight="false" outlineLevel="0" collapsed="false">
      <c r="A46" s="0" t="n">
        <v>0.84</v>
      </c>
      <c r="B46" s="0" t="n">
        <v>848.92142906</v>
      </c>
      <c r="C46" s="0" t="n">
        <f aca="false">B46-$B$1</f>
        <v>-2.38095238095002</v>
      </c>
      <c r="D46" s="0" t="n">
        <f aca="false">(C45+C46)/2*(A46-A45)</f>
        <v>-0.0354090354090011</v>
      </c>
      <c r="E46" s="0" t="n">
        <f aca="false">E45+D46</f>
        <v>0.283272283271947</v>
      </c>
      <c r="F46" s="0" t="n">
        <f aca="false">E46/$B$2</f>
        <v>0.00326762133217816</v>
      </c>
    </row>
    <row r="47" customFormat="false" ht="15.75" hidden="false" customHeight="false" outlineLevel="0" collapsed="false">
      <c r="A47" s="0" t="n">
        <v>0.86</v>
      </c>
      <c r="B47" s="0" t="n">
        <v>848.92142906</v>
      </c>
      <c r="C47" s="0" t="n">
        <f aca="false">B47-$B$1</f>
        <v>-2.38095238095002</v>
      </c>
      <c r="D47" s="0" t="n">
        <f aca="false">(C46+C47)/2*(A47-A46)</f>
        <v>-0.0476190476190005</v>
      </c>
      <c r="E47" s="0" t="n">
        <f aca="false">E46+D47</f>
        <v>0.235653235652946</v>
      </c>
      <c r="F47" s="0" t="n">
        <f aca="false">E47/$B$2</f>
        <v>0.00271832291857914</v>
      </c>
    </row>
    <row r="48" customFormat="false" ht="15.75" hidden="false" customHeight="false" outlineLevel="0" collapsed="false">
      <c r="A48" s="0" t="n">
        <v>0.88</v>
      </c>
      <c r="B48" s="0" t="n">
        <v>848.92142906</v>
      </c>
      <c r="C48" s="0" t="n">
        <f aca="false">B48-$B$1</f>
        <v>-2.38095238095002</v>
      </c>
      <c r="D48" s="0" t="n">
        <f aca="false">(C47+C48)/2*(A48-A47)</f>
        <v>-0.0476190476190005</v>
      </c>
      <c r="E48" s="0" t="n">
        <f aca="false">E47+D48</f>
        <v>0.188034188033946</v>
      </c>
      <c r="F48" s="0" t="n">
        <f aca="false">E48/$B$2</f>
        <v>0.00216902450498011</v>
      </c>
    </row>
    <row r="49" customFormat="false" ht="15.75" hidden="false" customHeight="false" outlineLevel="0" collapsed="false">
      <c r="A49" s="0" t="n">
        <v>0.9</v>
      </c>
      <c r="B49" s="0" t="n">
        <v>850.142430281</v>
      </c>
      <c r="C49" s="0" t="n">
        <f aca="false">B49-$B$1</f>
        <v>-1.15995115995008</v>
      </c>
      <c r="D49" s="0" t="n">
        <f aca="false">(C48+C49)/2*(A49-A48)</f>
        <v>-0.0354090354090011</v>
      </c>
      <c r="E49" s="0" t="n">
        <f aca="false">E48+D49</f>
        <v>0.152625152624945</v>
      </c>
      <c r="F49" s="0" t="n">
        <f aca="false">E49/$B$2</f>
        <v>0.00176057183845775</v>
      </c>
    </row>
    <row r="50" customFormat="false" ht="15.75" hidden="false" customHeight="false" outlineLevel="0" collapsed="false">
      <c r="A50" s="0" t="n">
        <v>0.92</v>
      </c>
      <c r="B50" s="0" t="n">
        <v>851.363431502</v>
      </c>
      <c r="C50" s="0" t="n">
        <f aca="false">B50-$B$1</f>
        <v>0.0610500610499685</v>
      </c>
      <c r="D50" s="0" t="n">
        <f aca="false">(C49+C50)/2*(A50-A49)</f>
        <v>-0.0109890109890012</v>
      </c>
      <c r="E50" s="0" t="n">
        <f aca="false">E49+D50</f>
        <v>0.141636141635944</v>
      </c>
      <c r="F50" s="0" t="n">
        <f aca="false">E50/$B$2</f>
        <v>0.00163381066608874</v>
      </c>
    </row>
    <row r="51" customFormat="false" ht="15.75" hidden="false" customHeight="false" outlineLevel="0" collapsed="false">
      <c r="A51" s="0" t="n">
        <v>0.94</v>
      </c>
      <c r="B51" s="0" t="n">
        <v>852.584432723</v>
      </c>
      <c r="C51" s="0" t="n">
        <f aca="false">B51-$B$1</f>
        <v>1.28205128204991</v>
      </c>
      <c r="D51" s="0" t="n">
        <f aca="false">(C50+C51)/2*(A51-A50)</f>
        <v>0.0134310134309987</v>
      </c>
      <c r="E51" s="0" t="n">
        <f aca="false">E50+D51</f>
        <v>0.155067155066942</v>
      </c>
      <c r="F51" s="0" t="n">
        <f aca="false">E51/$B$2</f>
        <v>0.00178874098787306</v>
      </c>
    </row>
    <row r="52" customFormat="false" ht="15.75" hidden="false" customHeight="false" outlineLevel="0" collapsed="false">
      <c r="A52" s="0" t="n">
        <v>0.96</v>
      </c>
      <c r="B52" s="0" t="n">
        <v>852.584432723</v>
      </c>
      <c r="C52" s="0" t="n">
        <f aca="false">B52-$B$1</f>
        <v>1.28205128204991</v>
      </c>
      <c r="D52" s="0" t="n">
        <f aca="false">(C51+C52)/2*(A52-A51)</f>
        <v>0.0256410256409981</v>
      </c>
      <c r="E52" s="0" t="n">
        <f aca="false">E51+D52</f>
        <v>0.18070818070794</v>
      </c>
      <c r="F52" s="0" t="n">
        <f aca="false">E52/$B$2</f>
        <v>0.00208451705673405</v>
      </c>
    </row>
    <row r="53" customFormat="false" ht="15.75" hidden="false" customHeight="false" outlineLevel="0" collapsed="false">
      <c r="A53" s="0" t="n">
        <v>0.98</v>
      </c>
      <c r="B53" s="0" t="n">
        <v>852.584432723</v>
      </c>
      <c r="C53" s="0" t="n">
        <f aca="false">B53-$B$1</f>
        <v>1.28205128204991</v>
      </c>
      <c r="D53" s="0" t="n">
        <f aca="false">(C52+C53)/2*(A53-A52)</f>
        <v>0.0256410256409981</v>
      </c>
      <c r="E53" s="0" t="n">
        <f aca="false">E52+D53</f>
        <v>0.206349206348939</v>
      </c>
      <c r="F53" s="0" t="n">
        <f aca="false">E53/$B$2</f>
        <v>0.00238029312559504</v>
      </c>
    </row>
    <row r="54" customFormat="false" ht="15.75" hidden="false" customHeight="false" outlineLevel="0" collapsed="false">
      <c r="A54" s="0" t="n">
        <v>1</v>
      </c>
      <c r="B54" s="0" t="n">
        <v>852.584432723</v>
      </c>
      <c r="C54" s="0" t="n">
        <f aca="false">B54-$B$1</f>
        <v>1.28205128204991</v>
      </c>
      <c r="D54" s="0" t="n">
        <f aca="false">(C53+C54)/2*(A54-A53)</f>
        <v>0.0256410256409981</v>
      </c>
      <c r="E54" s="0" t="n">
        <f aca="false">E53+D54</f>
        <v>0.231990231989937</v>
      </c>
      <c r="F54" s="0" t="n">
        <f aca="false">E54/$B$2</f>
        <v>0.00267606919445602</v>
      </c>
    </row>
    <row r="55" customFormat="false" ht="15.75" hidden="false" customHeight="false" outlineLevel="0" collapsed="false">
      <c r="A55" s="0" t="n">
        <v>1.02</v>
      </c>
      <c r="B55" s="0" t="n">
        <v>851.363431502</v>
      </c>
      <c r="C55" s="0" t="n">
        <f aca="false">B55-$B$1</f>
        <v>0.0610500610499685</v>
      </c>
      <c r="D55" s="0" t="n">
        <f aca="false">(C54+C55)/2*(A55-A54)</f>
        <v>0.0134310134309988</v>
      </c>
      <c r="E55" s="0" t="n">
        <f aca="false">E54+D55</f>
        <v>0.245421245420935</v>
      </c>
      <c r="F55" s="0" t="n">
        <f aca="false">E55/$B$2</f>
        <v>0.00283099951624035</v>
      </c>
    </row>
    <row r="56" customFormat="false" ht="15.75" hidden="false" customHeight="false" outlineLevel="0" collapsed="false">
      <c r="A56" s="0" t="n">
        <v>1.04</v>
      </c>
      <c r="B56" s="0" t="n">
        <v>851.363431502</v>
      </c>
      <c r="C56" s="0" t="n">
        <f aca="false">B56-$B$1</f>
        <v>0.0610500610499685</v>
      </c>
      <c r="D56" s="0" t="n">
        <f aca="false">(C55+C56)/2*(A56-A55)</f>
        <v>0.00122100122099937</v>
      </c>
      <c r="E56" s="0" t="n">
        <f aca="false">E55+D56</f>
        <v>0.246642246641935</v>
      </c>
      <c r="F56" s="0" t="n">
        <f aca="false">E56/$B$2</f>
        <v>0.00284508409094801</v>
      </c>
    </row>
    <row r="57" customFormat="false" ht="15.75" hidden="false" customHeight="false" outlineLevel="0" collapsed="false">
      <c r="A57" s="0" t="n">
        <v>1.06</v>
      </c>
      <c r="B57" s="0" t="n">
        <v>850.142430281</v>
      </c>
      <c r="C57" s="0" t="n">
        <f aca="false">B57-$B$1</f>
        <v>-1.15995115995008</v>
      </c>
      <c r="D57" s="0" t="n">
        <f aca="false">(C56+C57)/2*(A57-A56)</f>
        <v>-0.0109890109890012</v>
      </c>
      <c r="E57" s="0" t="n">
        <f aca="false">E56+D57</f>
        <v>0.235653235652934</v>
      </c>
      <c r="F57" s="0" t="n">
        <f aca="false">E57/$B$2</f>
        <v>0.00271832291857899</v>
      </c>
    </row>
    <row r="58" customFormat="false" ht="15.75" hidden="false" customHeight="false" outlineLevel="0" collapsed="false">
      <c r="A58" s="0" t="n">
        <v>1.08</v>
      </c>
      <c r="B58" s="0" t="n">
        <v>850.142430281</v>
      </c>
      <c r="C58" s="0" t="n">
        <f aca="false">B58-$B$1</f>
        <v>-1.15995115995008</v>
      </c>
      <c r="D58" s="0" t="n">
        <f aca="false">(C57+C58)/2*(A58-A57)</f>
        <v>-0.0231990231990017</v>
      </c>
      <c r="E58" s="0" t="n">
        <f aca="false">E57+D58</f>
        <v>0.212454212453932</v>
      </c>
      <c r="F58" s="0" t="n">
        <f aca="false">E58/$B$2</f>
        <v>0.0024507159991333</v>
      </c>
    </row>
    <row r="59" customFormat="false" ht="15.75" hidden="false" customHeight="false" outlineLevel="0" collapsed="false">
      <c r="A59" s="0" t="n">
        <v>1.1</v>
      </c>
      <c r="B59" s="0" t="n">
        <v>850.142430281</v>
      </c>
      <c r="C59" s="0" t="n">
        <f aca="false">B59-$B$1</f>
        <v>-1.15995115995008</v>
      </c>
      <c r="D59" s="0" t="n">
        <f aca="false">(C58+C59)/2*(A59-A58)</f>
        <v>-0.0231990231990017</v>
      </c>
      <c r="E59" s="0" t="n">
        <f aca="false">E58+D59</f>
        <v>0.18925518925493</v>
      </c>
      <c r="F59" s="0" t="n">
        <f aca="false">E59/$B$2</f>
        <v>0.0021831090796876</v>
      </c>
    </row>
    <row r="60" customFormat="false" ht="15.75" hidden="false" customHeight="false" outlineLevel="0" collapsed="false">
      <c r="A60" s="0" t="n">
        <v>1.12</v>
      </c>
      <c r="B60" s="0" t="n">
        <v>850.142430281</v>
      </c>
      <c r="C60" s="0" t="n">
        <f aca="false">B60-$B$1</f>
        <v>-1.15995115995008</v>
      </c>
      <c r="D60" s="0" t="n">
        <f aca="false">(C59+C60)/2*(A60-A59)</f>
        <v>-0.0231990231990017</v>
      </c>
      <c r="E60" s="0" t="n">
        <f aca="false">E59+D60</f>
        <v>0.166056166055929</v>
      </c>
      <c r="F60" s="0" t="n">
        <f aca="false">E60/$B$2</f>
        <v>0.00191550216024191</v>
      </c>
    </row>
    <row r="61" customFormat="false" ht="15.75" hidden="false" customHeight="false" outlineLevel="0" collapsed="false">
      <c r="A61" s="0" t="n">
        <v>1.14</v>
      </c>
      <c r="B61" s="0" t="n">
        <v>850.142430281</v>
      </c>
      <c r="C61" s="0" t="n">
        <f aca="false">B61-$B$1</f>
        <v>-1.15995115995008</v>
      </c>
      <c r="D61" s="0" t="n">
        <f aca="false">(C60+C61)/2*(A61-A60)</f>
        <v>-0.0231990231990014</v>
      </c>
      <c r="E61" s="0" t="n">
        <f aca="false">E60+D61</f>
        <v>0.142857142856927</v>
      </c>
      <c r="F61" s="0" t="n">
        <f aca="false">E61/$B$2</f>
        <v>0.00164789524079621</v>
      </c>
    </row>
    <row r="62" customFormat="false" ht="15.75" hidden="false" customHeight="false" outlineLevel="0" collapsed="false">
      <c r="A62" s="0" t="n">
        <v>1.16</v>
      </c>
      <c r="B62" s="0" t="n">
        <v>851.363431502</v>
      </c>
      <c r="C62" s="0" t="n">
        <f aca="false">B62-$B$1</f>
        <v>0.0610500610499685</v>
      </c>
      <c r="D62" s="0" t="n">
        <f aca="false">(C61+C62)/2*(A62-A61)</f>
        <v>-0.0109890109890012</v>
      </c>
      <c r="E62" s="0" t="n">
        <f aca="false">E61+D62</f>
        <v>0.131868131867926</v>
      </c>
      <c r="F62" s="0" t="n">
        <f aca="false">E62/$B$2</f>
        <v>0.0015211340684272</v>
      </c>
    </row>
    <row r="63" customFormat="false" ht="15.75" hidden="false" customHeight="false" outlineLevel="0" collapsed="false">
      <c r="A63" s="0" t="n">
        <v>1.18</v>
      </c>
      <c r="B63" s="0" t="n">
        <v>851.363431502</v>
      </c>
      <c r="C63" s="0" t="n">
        <f aca="false">B63-$B$1</f>
        <v>0.0610500610499685</v>
      </c>
      <c r="D63" s="0" t="n">
        <f aca="false">(C62+C63)/2*(A63-A62)</f>
        <v>0.00122100122099937</v>
      </c>
      <c r="E63" s="0" t="n">
        <f aca="false">E62+D63</f>
        <v>0.133089133088925</v>
      </c>
      <c r="F63" s="0" t="n">
        <f aca="false">E63/$B$2</f>
        <v>0.00153521864313486</v>
      </c>
    </row>
    <row r="64" customFormat="false" ht="15.75" hidden="false" customHeight="false" outlineLevel="0" collapsed="false">
      <c r="A64" s="0" t="n">
        <v>1.2</v>
      </c>
      <c r="B64" s="0" t="n">
        <v>850.142430281</v>
      </c>
      <c r="C64" s="0" t="n">
        <f aca="false">B64-$B$1</f>
        <v>-1.15995115995008</v>
      </c>
      <c r="D64" s="0" t="n">
        <f aca="false">(C63+C64)/2*(A64-A63)</f>
        <v>-0.0109890109890012</v>
      </c>
      <c r="E64" s="0" t="n">
        <f aca="false">E63+D64</f>
        <v>0.122100122099924</v>
      </c>
      <c r="F64" s="0" t="n">
        <f aca="false">E64/$B$2</f>
        <v>0.00140845747076584</v>
      </c>
    </row>
    <row r="65" customFormat="false" ht="15.75" hidden="false" customHeight="false" outlineLevel="0" collapsed="false">
      <c r="A65" s="0" t="n">
        <v>1.22</v>
      </c>
      <c r="B65" s="0" t="n">
        <v>848.92142906</v>
      </c>
      <c r="C65" s="0" t="n">
        <f aca="false">B65-$B$1</f>
        <v>-2.38095238095002</v>
      </c>
      <c r="D65" s="0" t="n">
        <f aca="false">(C64+C65)/2*(A65-A64)</f>
        <v>-0.0354090354090011</v>
      </c>
      <c r="E65" s="0" t="n">
        <f aca="false">E64+D65</f>
        <v>0.0866910866909231</v>
      </c>
      <c r="F65" s="0" t="n">
        <f aca="false">E65/$B$2</f>
        <v>0.00100000480424348</v>
      </c>
    </row>
    <row r="66" customFormat="false" ht="15.75" hidden="false" customHeight="false" outlineLevel="0" collapsed="false">
      <c r="A66" s="0" t="n">
        <v>1.24</v>
      </c>
      <c r="B66" s="0" t="n">
        <v>850.142430281</v>
      </c>
      <c r="C66" s="0" t="n">
        <f aca="false">B66-$B$1</f>
        <v>-1.15995115995008</v>
      </c>
      <c r="D66" s="0" t="n">
        <f aca="false">(C65+C66)/2*(A66-A65)</f>
        <v>-0.0354090354090011</v>
      </c>
      <c r="E66" s="0" t="n">
        <f aca="false">E65+D66</f>
        <v>0.0512820512819221</v>
      </c>
      <c r="F66" s="0" t="n">
        <f aca="false">E66/$B$2</f>
        <v>0.00059155213772112</v>
      </c>
    </row>
    <row r="67" customFormat="false" ht="15.75" hidden="false" customHeight="false" outlineLevel="0" collapsed="false">
      <c r="A67" s="0" t="n">
        <v>1.26</v>
      </c>
      <c r="B67" s="0" t="n">
        <v>851.363431502</v>
      </c>
      <c r="C67" s="0" t="n">
        <f aca="false">B67-$B$1</f>
        <v>0.0610500610499685</v>
      </c>
      <c r="D67" s="0" t="n">
        <f aca="false">(C66+C67)/2*(A67-A66)</f>
        <v>-0.0109890109890012</v>
      </c>
      <c r="E67" s="0" t="n">
        <f aca="false">E66+D67</f>
        <v>0.0402930402929209</v>
      </c>
      <c r="F67" s="0" t="n">
        <f aca="false">E67/$B$2</f>
        <v>0.000464790965352103</v>
      </c>
    </row>
    <row r="68" customFormat="false" ht="15.75" hidden="false" customHeight="false" outlineLevel="0" collapsed="false">
      <c r="A68" s="0" t="n">
        <v>1.28</v>
      </c>
      <c r="B68" s="0" t="n">
        <v>852.584432723</v>
      </c>
      <c r="C68" s="0" t="n">
        <f aca="false">B68-$B$1</f>
        <v>1.28205128204991</v>
      </c>
      <c r="D68" s="0" t="n">
        <f aca="false">(C67+C68)/2*(A68-A67)</f>
        <v>0.0134310134309988</v>
      </c>
      <c r="E68" s="0" t="n">
        <f aca="false">E67+D68</f>
        <v>0.0537240537239197</v>
      </c>
      <c r="F68" s="0" t="n">
        <f aca="false">E68/$B$2</f>
        <v>0.000619721287136427</v>
      </c>
    </row>
    <row r="69" customFormat="false" ht="15.75" hidden="false" customHeight="false" outlineLevel="0" collapsed="false">
      <c r="A69" s="0" t="n">
        <v>1.3</v>
      </c>
      <c r="B69" s="0" t="n">
        <v>853.805433944</v>
      </c>
      <c r="C69" s="0" t="n">
        <f aca="false">B69-$B$1</f>
        <v>2.50305250304996</v>
      </c>
      <c r="D69" s="0" t="n">
        <f aca="false">(C68+C69)/2*(A69-A68)</f>
        <v>0.0378510378509987</v>
      </c>
      <c r="E69" s="0" t="n">
        <f aca="false">E68+D69</f>
        <v>0.0915750915749183</v>
      </c>
      <c r="F69" s="0" t="n">
        <f aca="false">E69/$B$2</f>
        <v>0.00105634310307409</v>
      </c>
    </row>
    <row r="70" customFormat="false" ht="15.75" hidden="false" customHeight="false" outlineLevel="0" collapsed="false">
      <c r="A70" s="0" t="n">
        <v>1.32</v>
      </c>
      <c r="B70" s="0" t="n">
        <v>853.805433944</v>
      </c>
      <c r="C70" s="0" t="n">
        <f aca="false">B70-$B$1</f>
        <v>2.50305250304996</v>
      </c>
      <c r="D70" s="0" t="n">
        <f aca="false">(C69+C70)/2*(A70-A69)</f>
        <v>0.0500610500609992</v>
      </c>
      <c r="E70" s="0" t="n">
        <f aca="false">E69+D70</f>
        <v>0.141636141635918</v>
      </c>
      <c r="F70" s="0" t="n">
        <f aca="false">E70/$B$2</f>
        <v>0.00163381066608844</v>
      </c>
    </row>
    <row r="71" customFormat="false" ht="15.75" hidden="false" customHeight="false" outlineLevel="0" collapsed="false">
      <c r="A71" s="0" t="n">
        <v>1.34</v>
      </c>
      <c r="B71" s="0" t="n">
        <v>851.363431502</v>
      </c>
      <c r="C71" s="0" t="n">
        <f aca="false">B71-$B$1</f>
        <v>0.0610500610499685</v>
      </c>
      <c r="D71" s="0" t="n">
        <f aca="false">(C70+C71)/2*(A71-A70)</f>
        <v>0.0256410256409993</v>
      </c>
      <c r="E71" s="0" t="n">
        <f aca="false">E70+D71</f>
        <v>0.167277167276917</v>
      </c>
      <c r="F71" s="0" t="n">
        <f aca="false">E71/$B$2</f>
        <v>0.00192958673494944</v>
      </c>
    </row>
    <row r="72" customFormat="false" ht="15.75" hidden="false" customHeight="false" outlineLevel="0" collapsed="false">
      <c r="A72" s="0" t="n">
        <v>1.36</v>
      </c>
      <c r="B72" s="0" t="n">
        <v>850.142430281</v>
      </c>
      <c r="C72" s="0" t="n">
        <f aca="false">B72-$B$1</f>
        <v>-1.15995115995008</v>
      </c>
      <c r="D72" s="0" t="n">
        <f aca="false">(C71+C72)/2*(A72-A71)</f>
        <v>-0.0109890109890012</v>
      </c>
      <c r="E72" s="0" t="n">
        <f aca="false">E71+D72</f>
        <v>0.156288156287916</v>
      </c>
      <c r="F72" s="0" t="n">
        <f aca="false">E72/$B$2</f>
        <v>0.00180282556258042</v>
      </c>
    </row>
    <row r="73" customFormat="false" ht="15.75" hidden="false" customHeight="false" outlineLevel="0" collapsed="false">
      <c r="A73" s="0" t="n">
        <v>1.38</v>
      </c>
      <c r="B73" s="0" t="n">
        <v>848.92142906</v>
      </c>
      <c r="C73" s="0" t="n">
        <f aca="false">B73-$B$1</f>
        <v>-2.38095238095002</v>
      </c>
      <c r="D73" s="0" t="n">
        <f aca="false">(C72+C73)/2*(A73-A72)</f>
        <v>-0.0354090354090007</v>
      </c>
      <c r="E73" s="0" t="n">
        <f aca="false">E72+D73</f>
        <v>0.120879120878915</v>
      </c>
      <c r="F73" s="0" t="n">
        <f aca="false">E73/$B$2</f>
        <v>0.00139437289605807</v>
      </c>
    </row>
    <row r="74" customFormat="false" ht="15.75" hidden="false" customHeight="false" outlineLevel="0" collapsed="false">
      <c r="A74" s="0" t="n">
        <v>1.4</v>
      </c>
      <c r="B74" s="0" t="n">
        <v>848.92142906</v>
      </c>
      <c r="C74" s="0" t="n">
        <f aca="false">B74-$B$1</f>
        <v>-2.38095238095002</v>
      </c>
      <c r="D74" s="0" t="n">
        <f aca="false">(C73+C74)/2*(A74-A73)</f>
        <v>-0.0476190476190005</v>
      </c>
      <c r="E74" s="0" t="n">
        <f aca="false">E73+D74</f>
        <v>0.0732600732599145</v>
      </c>
      <c r="F74" s="0" t="n">
        <f aca="false">E74/$B$2</f>
        <v>0.000845074482459042</v>
      </c>
    </row>
    <row r="75" customFormat="false" ht="15.75" hidden="false" customHeight="false" outlineLevel="0" collapsed="false">
      <c r="A75" s="0" t="n">
        <v>1.42</v>
      </c>
      <c r="B75" s="0" t="n">
        <v>850.142430281</v>
      </c>
      <c r="C75" s="0" t="n">
        <f aca="false">B75-$B$1</f>
        <v>-1.15995115995008</v>
      </c>
      <c r="D75" s="0" t="n">
        <f aca="false">(C74+C75)/2*(A75-A74)</f>
        <v>-0.0354090354090011</v>
      </c>
      <c r="E75" s="0" t="n">
        <f aca="false">E74+D75</f>
        <v>0.0378510378509135</v>
      </c>
      <c r="F75" s="0" t="n">
        <f aca="false">E75/$B$2</f>
        <v>0.000436621815936683</v>
      </c>
    </row>
    <row r="76" customFormat="false" ht="15.75" hidden="false" customHeight="false" outlineLevel="0" collapsed="false">
      <c r="A76" s="0" t="n">
        <v>1.44</v>
      </c>
      <c r="B76" s="0" t="n">
        <v>851.363431502</v>
      </c>
      <c r="C76" s="0" t="n">
        <f aca="false">B76-$B$1</f>
        <v>0.0610500610499685</v>
      </c>
      <c r="D76" s="0" t="n">
        <f aca="false">(C75+C76)/2*(A76-A75)</f>
        <v>-0.0109890109890012</v>
      </c>
      <c r="E76" s="0" t="n">
        <f aca="false">E75+D76</f>
        <v>0.0268620268619123</v>
      </c>
      <c r="F76" s="0" t="n">
        <f aca="false">E76/$B$2</f>
        <v>0.000309860643567666</v>
      </c>
    </row>
    <row r="77" customFormat="false" ht="15.75" hidden="false" customHeight="false" outlineLevel="0" collapsed="false">
      <c r="A77" s="0" t="n">
        <v>1.46</v>
      </c>
      <c r="B77" s="0" t="n">
        <v>851.363431502</v>
      </c>
      <c r="C77" s="0" t="n">
        <f aca="false">B77-$B$1</f>
        <v>0.0610500610499685</v>
      </c>
      <c r="D77" s="0" t="n">
        <f aca="false">(C76+C77)/2*(A77-A76)</f>
        <v>0.00122100122099937</v>
      </c>
      <c r="E77" s="0" t="n">
        <f aca="false">E76+D77</f>
        <v>0.0280830280829117</v>
      </c>
      <c r="F77" s="0" t="n">
        <f aca="false">E77/$B$2</f>
        <v>0.000323945218275325</v>
      </c>
    </row>
    <row r="78" customFormat="false" ht="15.75" hidden="false" customHeight="false" outlineLevel="0" collapsed="false">
      <c r="A78" s="0" t="n">
        <v>1.48</v>
      </c>
      <c r="B78" s="0" t="n">
        <v>852.584432723</v>
      </c>
      <c r="C78" s="0" t="n">
        <f aca="false">B78-$B$1</f>
        <v>1.28205128204991</v>
      </c>
      <c r="D78" s="0" t="n">
        <f aca="false">(C77+C78)/2*(A78-A77)</f>
        <v>0.0134310134309988</v>
      </c>
      <c r="E78" s="0" t="n">
        <f aca="false">E77+D78</f>
        <v>0.0415140415139105</v>
      </c>
      <c r="F78" s="0" t="n">
        <f aca="false">E78/$B$2</f>
        <v>0.000478875540059649</v>
      </c>
    </row>
    <row r="79" customFormat="false" ht="15.75" hidden="false" customHeight="false" outlineLevel="0" collapsed="false">
      <c r="A79" s="0" t="n">
        <v>1.5</v>
      </c>
      <c r="B79" s="0" t="n">
        <v>852.584432723</v>
      </c>
      <c r="C79" s="0" t="n">
        <f aca="false">B79-$B$1</f>
        <v>1.28205128204991</v>
      </c>
      <c r="D79" s="0" t="n">
        <f aca="false">(C78+C79)/2*(A79-A78)</f>
        <v>0.0256410256409981</v>
      </c>
      <c r="E79" s="0" t="n">
        <f aca="false">E78+D79</f>
        <v>0.0671550671549086</v>
      </c>
      <c r="F79" s="0" t="n">
        <f aca="false">E79/$B$2</f>
        <v>0.000774651608920638</v>
      </c>
    </row>
    <row r="80" customFormat="false" ht="15.75" hidden="false" customHeight="false" outlineLevel="0" collapsed="false">
      <c r="A80" s="0" t="n">
        <v>1.52</v>
      </c>
      <c r="B80" s="0" t="n">
        <v>850.142430281</v>
      </c>
      <c r="C80" s="0" t="n">
        <f aca="false">B80-$B$1</f>
        <v>-1.15995115995008</v>
      </c>
      <c r="D80" s="0" t="n">
        <f aca="false">(C79+C80)/2*(A80-A79)</f>
        <v>0.00122100122099823</v>
      </c>
      <c r="E80" s="0" t="n">
        <f aca="false">E79+D80</f>
        <v>0.0683760683759068</v>
      </c>
      <c r="F80" s="0" t="n">
        <f aca="false">E80/$B$2</f>
        <v>0.000788736183628285</v>
      </c>
    </row>
    <row r="81" customFormat="false" ht="15.75" hidden="false" customHeight="false" outlineLevel="0" collapsed="false">
      <c r="A81" s="0" t="n">
        <v>1.54</v>
      </c>
      <c r="B81" s="0" t="n">
        <v>850.142430281</v>
      </c>
      <c r="C81" s="0" t="n">
        <f aca="false">B81-$B$1</f>
        <v>-1.15995115995008</v>
      </c>
      <c r="D81" s="0" t="n">
        <f aca="false">(C80+C81)/2*(A81-A80)</f>
        <v>-0.0231990231990017</v>
      </c>
      <c r="E81" s="0" t="n">
        <f aca="false">E80+D81</f>
        <v>0.0451770451769052</v>
      </c>
      <c r="F81" s="0" t="n">
        <f aca="false">E81/$B$2</f>
        <v>0.00052112926418259</v>
      </c>
    </row>
    <row r="82" customFormat="false" ht="15.75" hidden="false" customHeight="false" outlineLevel="0" collapsed="false">
      <c r="A82" s="0" t="n">
        <v>1.56</v>
      </c>
      <c r="B82" s="0" t="n">
        <v>850.142430281</v>
      </c>
      <c r="C82" s="0" t="n">
        <f aca="false">B82-$B$1</f>
        <v>-1.15995115995008</v>
      </c>
      <c r="D82" s="0" t="n">
        <f aca="false">(C81+C82)/2*(A82-A81)</f>
        <v>-0.0231990231990017</v>
      </c>
      <c r="E82" s="0" t="n">
        <f aca="false">E81+D82</f>
        <v>0.0219780219779035</v>
      </c>
      <c r="F82" s="0" t="n">
        <f aca="false">E82/$B$2</f>
        <v>0.000253522344736895</v>
      </c>
    </row>
    <row r="83" customFormat="false" ht="15.75" hidden="false" customHeight="false" outlineLevel="0" collapsed="false">
      <c r="A83" s="0" t="n">
        <v>1.58</v>
      </c>
      <c r="B83" s="0" t="n">
        <v>850.142430281</v>
      </c>
      <c r="C83" s="0" t="n">
        <f aca="false">B83-$B$1</f>
        <v>-1.15995115995008</v>
      </c>
      <c r="D83" s="0" t="n">
        <f aca="false">(C82+C83)/2*(A83-A82)</f>
        <v>-0.0231990231990017</v>
      </c>
      <c r="E83" s="0" t="n">
        <f aca="false">E82+D83</f>
        <v>-0.0012210012210982</v>
      </c>
      <c r="F83" s="0" t="n">
        <f aca="false">E83/$B$2</f>
        <v>-1.40845747087999E-005</v>
      </c>
    </row>
    <row r="84" customFormat="false" ht="15.75" hidden="false" customHeight="false" outlineLevel="0" collapsed="false">
      <c r="A84" s="0" t="n">
        <v>1.6</v>
      </c>
      <c r="B84" s="0" t="n">
        <v>851.363431502</v>
      </c>
      <c r="C84" s="0" t="n">
        <f aca="false">B84-$B$1</f>
        <v>0.0610500610499685</v>
      </c>
      <c r="D84" s="0" t="n">
        <f aca="false">(C83+C84)/2*(A84-A83)</f>
        <v>-0.0109890109890012</v>
      </c>
      <c r="E84" s="0" t="n">
        <f aca="false">E83+D84</f>
        <v>-0.0122100122100994</v>
      </c>
      <c r="F84" s="0" t="n">
        <f aca="false">E84/$B$2</f>
        <v>-0.000140845747077817</v>
      </c>
    </row>
    <row r="85" customFormat="false" ht="15.75" hidden="false" customHeight="false" outlineLevel="0" collapsed="false">
      <c r="A85" s="0" t="n">
        <v>1.62</v>
      </c>
      <c r="B85" s="0" t="n">
        <v>852.584432723</v>
      </c>
      <c r="C85" s="0" t="n">
        <f aca="false">B85-$B$1</f>
        <v>1.28205128204991</v>
      </c>
      <c r="D85" s="0" t="n">
        <f aca="false">(C84+C85)/2*(A85-A84)</f>
        <v>0.0134310134309988</v>
      </c>
      <c r="E85" s="0" t="n">
        <f aca="false">E84+D85</f>
        <v>0.0012210012208994</v>
      </c>
      <c r="F85" s="0" t="n">
        <f aca="false">E85/$B$2</f>
        <v>1.40845747065067E-005</v>
      </c>
    </row>
    <row r="86" customFormat="false" ht="15.75" hidden="false" customHeight="false" outlineLevel="0" collapsed="false">
      <c r="A86" s="0" t="n">
        <v>1.64</v>
      </c>
      <c r="B86" s="0" t="n">
        <v>852.584432723</v>
      </c>
      <c r="C86" s="0" t="n">
        <f aca="false">B86-$B$1</f>
        <v>1.28205128204991</v>
      </c>
      <c r="D86" s="0" t="n">
        <f aca="false">(C85+C86)/2*(A86-A85)</f>
        <v>0.0256410256409979</v>
      </c>
      <c r="E86" s="0" t="n">
        <f aca="false">E85+D86</f>
        <v>0.0268620268618973</v>
      </c>
      <c r="F86" s="0" t="n">
        <f aca="false">E86/$B$2</f>
        <v>0.000309860643567492</v>
      </c>
    </row>
    <row r="87" customFormat="false" ht="15.75" hidden="false" customHeight="false" outlineLevel="0" collapsed="false">
      <c r="A87" s="0" t="n">
        <v>1.66</v>
      </c>
      <c r="B87" s="0" t="n">
        <v>850.142430281</v>
      </c>
      <c r="C87" s="0" t="n">
        <f aca="false">B87-$B$1</f>
        <v>-1.15995115995008</v>
      </c>
      <c r="D87" s="0" t="n">
        <f aca="false">(C86+C87)/2*(A87-A86)</f>
        <v>0.00122100122099823</v>
      </c>
      <c r="E87" s="0" t="n">
        <f aca="false">E86+D87</f>
        <v>0.0280830280828955</v>
      </c>
      <c r="F87" s="0" t="n">
        <f aca="false">E87/$B$2</f>
        <v>0.000323945218275139</v>
      </c>
    </row>
    <row r="88" customFormat="false" ht="15.75" hidden="false" customHeight="false" outlineLevel="0" collapsed="false">
      <c r="A88" s="0" t="n">
        <v>1.68</v>
      </c>
      <c r="B88" s="0" t="n">
        <v>847.700427839</v>
      </c>
      <c r="C88" s="0" t="n">
        <f aca="false">B88-$B$1</f>
        <v>-3.60195360195007</v>
      </c>
      <c r="D88" s="0" t="n">
        <f aca="false">(C87+C88)/2*(A88-A87)</f>
        <v>-0.0476190476190016</v>
      </c>
      <c r="E88" s="0" t="n">
        <f aca="false">E87+D88</f>
        <v>-0.0195360195361061</v>
      </c>
      <c r="F88" s="0" t="n">
        <f aca="false">E88/$B$2</f>
        <v>-0.000225353195323898</v>
      </c>
    </row>
    <row r="89" customFormat="false" ht="15.75" hidden="false" customHeight="false" outlineLevel="0" collapsed="false">
      <c r="A89" s="0" t="n">
        <v>1.7</v>
      </c>
      <c r="B89" s="0" t="n">
        <v>844.037424176</v>
      </c>
      <c r="C89" s="0" t="n">
        <f aca="false">B89-$B$1</f>
        <v>-7.26495726495011</v>
      </c>
      <c r="D89" s="0" t="n">
        <f aca="false">(C88+C89)/2*(A89-A88)</f>
        <v>-0.108669108669002</v>
      </c>
      <c r="E89" s="0" t="n">
        <f aca="false">E88+D89</f>
        <v>-0.128205128205108</v>
      </c>
      <c r="F89" s="0" t="n">
        <f aca="false">E89/$B$2</f>
        <v>-0.0014788803443063</v>
      </c>
    </row>
    <row r="90" customFormat="false" ht="15.75" hidden="false" customHeight="false" outlineLevel="0" collapsed="false">
      <c r="A90" s="0" t="n">
        <v>1.72</v>
      </c>
      <c r="B90" s="0" t="n">
        <v>841.595421734</v>
      </c>
      <c r="C90" s="0" t="n">
        <f aca="false">B90-$B$1</f>
        <v>-9.7069597069501</v>
      </c>
      <c r="D90" s="0" t="n">
        <f aca="false">(C89+C90)/2*(A90-A89)</f>
        <v>-0.169719169719002</v>
      </c>
      <c r="E90" s="0" t="n">
        <f aca="false">E89+D90</f>
        <v>-0.29792429792411</v>
      </c>
      <c r="F90" s="0" t="n">
        <f aca="false">E90/$B$2</f>
        <v>-0.00343663622867205</v>
      </c>
    </row>
    <row r="91" customFormat="false" ht="15.75" hidden="false" customHeight="false" outlineLevel="0" collapsed="false">
      <c r="A91" s="0" t="n">
        <v>1.74</v>
      </c>
      <c r="B91" s="0" t="n">
        <v>842.816422955</v>
      </c>
      <c r="C91" s="0" t="n">
        <f aca="false">B91-$B$1</f>
        <v>-8.48595848595005</v>
      </c>
      <c r="D91" s="0" t="n">
        <f aca="false">(C90+C91)/2*(A91-A90)</f>
        <v>-0.181929181929002</v>
      </c>
      <c r="E91" s="0" t="n">
        <f aca="false">E90+D91</f>
        <v>-0.479853479853112</v>
      </c>
      <c r="F91" s="0" t="n">
        <f aca="false">E91/$B$2</f>
        <v>-0.00553523786011447</v>
      </c>
    </row>
    <row r="92" customFormat="false" ht="15.75" hidden="false" customHeight="false" outlineLevel="0" collapsed="false">
      <c r="A92" s="0" t="n">
        <v>1.76</v>
      </c>
      <c r="B92" s="0" t="n">
        <v>841.595421734</v>
      </c>
      <c r="C92" s="0" t="n">
        <f aca="false">B92-$B$1</f>
        <v>-9.7069597069501</v>
      </c>
      <c r="D92" s="0" t="n">
        <f aca="false">(C91+C92)/2*(A92-A91)</f>
        <v>-0.181929181929002</v>
      </c>
      <c r="E92" s="0" t="n">
        <f aca="false">E91+D92</f>
        <v>-0.661782661782114</v>
      </c>
      <c r="F92" s="0" t="n">
        <f aca="false">E92/$B$2</f>
        <v>-0.0076338394915569</v>
      </c>
    </row>
    <row r="93" customFormat="false" ht="15.75" hidden="false" customHeight="false" outlineLevel="0" collapsed="false">
      <c r="A93" s="0" t="n">
        <v>1.78</v>
      </c>
      <c r="B93" s="0" t="n">
        <v>837.932418071</v>
      </c>
      <c r="C93" s="0" t="n">
        <f aca="false">B93-$B$1</f>
        <v>-13.36996336995</v>
      </c>
      <c r="D93" s="0" t="n">
        <f aca="false">(C92+C93)/2*(A93-A92)</f>
        <v>-0.230769230769002</v>
      </c>
      <c r="E93" s="0" t="n">
        <f aca="false">E92+D93</f>
        <v>-0.892551892551115</v>
      </c>
      <c r="F93" s="0" t="n">
        <f aca="false">E93/$B$2</f>
        <v>-0.010295824111306</v>
      </c>
    </row>
    <row r="94" customFormat="false" ht="15.75" hidden="false" customHeight="false" outlineLevel="0" collapsed="false">
      <c r="A94" s="0" t="n">
        <v>1.8</v>
      </c>
      <c r="B94" s="0" t="n">
        <v>837.932418071</v>
      </c>
      <c r="C94" s="0" t="n">
        <f aca="false">B94-$B$1</f>
        <v>-13.36996336995</v>
      </c>
      <c r="D94" s="0" t="n">
        <f aca="false">(C93+C94)/2*(A94-A93)</f>
        <v>-0.267399267399001</v>
      </c>
      <c r="E94" s="0" t="n">
        <f aca="false">E93+D94</f>
        <v>-1.15995115995012</v>
      </c>
      <c r="F94" s="0" t="n">
        <f aca="false">E94/$B$2</f>
        <v>-0.0133803459722851</v>
      </c>
    </row>
    <row r="95" customFormat="false" ht="15.75" hidden="false" customHeight="false" outlineLevel="0" collapsed="false">
      <c r="A95" s="0" t="n">
        <v>1.82</v>
      </c>
      <c r="B95" s="0" t="n">
        <v>839.153419292</v>
      </c>
      <c r="C95" s="0" t="n">
        <f aca="false">B95-$B$1</f>
        <v>-12.1489621489501</v>
      </c>
      <c r="D95" s="0" t="n">
        <f aca="false">(C94+C95)/2*(A95-A94)</f>
        <v>-0.255189255189001</v>
      </c>
      <c r="E95" s="0" t="n">
        <f aca="false">E94+D95</f>
        <v>-1.41514041513912</v>
      </c>
      <c r="F95" s="0" t="n">
        <f aca="false">E95/$B$2</f>
        <v>-0.0163240220861876</v>
      </c>
    </row>
    <row r="96" customFormat="false" ht="15.75" hidden="false" customHeight="false" outlineLevel="0" collapsed="false">
      <c r="A96" s="0" t="n">
        <v>1.84</v>
      </c>
      <c r="B96" s="0" t="n">
        <v>836.71141685</v>
      </c>
      <c r="C96" s="0" t="n">
        <f aca="false">B96-$B$1</f>
        <v>-14.5909645909501</v>
      </c>
      <c r="D96" s="0" t="n">
        <f aca="false">(C95+C96)/2*(A96-A95)</f>
        <v>-0.267399267399002</v>
      </c>
      <c r="E96" s="0" t="n">
        <f aca="false">E95+D96</f>
        <v>-1.68253968253812</v>
      </c>
      <c r="F96" s="0" t="n">
        <f aca="false">E96/$B$2</f>
        <v>-0.0194085439471667</v>
      </c>
    </row>
    <row r="97" customFormat="false" ht="15.75" hidden="false" customHeight="false" outlineLevel="0" collapsed="false">
      <c r="A97" s="0" t="n">
        <v>1.86</v>
      </c>
      <c r="B97" s="0" t="n">
        <v>825.722405861</v>
      </c>
      <c r="C97" s="0" t="n">
        <f aca="false">B97-$B$1</f>
        <v>-25.5799755799501</v>
      </c>
      <c r="D97" s="0" t="n">
        <f aca="false">(C96+C97)/2*(A97-A96)</f>
        <v>-0.401709401709002</v>
      </c>
      <c r="E97" s="0" t="n">
        <f aca="false">E96+D97</f>
        <v>-2.08424908424712</v>
      </c>
      <c r="F97" s="0" t="n">
        <f aca="false">E97/$B$2</f>
        <v>-0.0240423690259892</v>
      </c>
    </row>
    <row r="98" customFormat="false" ht="15.75" hidden="false" customHeight="false" outlineLevel="0" collapsed="false">
      <c r="A98" s="0" t="n">
        <v>1.88</v>
      </c>
      <c r="B98" s="0" t="n">
        <v>804.965385104</v>
      </c>
      <c r="C98" s="0" t="n">
        <f aca="false">B98-$B$1</f>
        <v>-46.3369963369501</v>
      </c>
      <c r="D98" s="0" t="n">
        <f aca="false">(C97+C98)/2*(A98-A97)</f>
        <v>-0.719169719168994</v>
      </c>
      <c r="E98" s="0" t="n">
        <f aca="false">E97+D98</f>
        <v>-2.80341880341612</v>
      </c>
      <c r="F98" s="0" t="n">
        <f aca="false">E98/$B$2</f>
        <v>-0.0323381835288051</v>
      </c>
    </row>
    <row r="99" customFormat="false" ht="15.75" hidden="false" customHeight="false" outlineLevel="0" collapsed="false">
      <c r="A99" s="0" t="n">
        <v>1.9</v>
      </c>
      <c r="B99" s="0" t="n">
        <v>781.766361905</v>
      </c>
      <c r="C99" s="0" t="n">
        <f aca="false">B99-$B$1</f>
        <v>-69.53601953595</v>
      </c>
      <c r="D99" s="0" t="n">
        <f aca="false">(C98+C99)/2*(A99-A98)</f>
        <v>-1.158730158729</v>
      </c>
      <c r="E99" s="0" t="n">
        <f aca="false">E98+D99</f>
        <v>-3.96214896214512</v>
      </c>
      <c r="F99" s="0" t="n">
        <f aca="false">E99/$B$2</f>
        <v>-0.0457044449263812</v>
      </c>
    </row>
    <row r="100" customFormat="false" ht="15.75" hidden="false" customHeight="false" outlineLevel="0" collapsed="false">
      <c r="A100" s="0" t="n">
        <v>1.92</v>
      </c>
      <c r="B100" s="0" t="n">
        <v>753.683333822</v>
      </c>
      <c r="C100" s="0" t="n">
        <f aca="false">B100-$B$1</f>
        <v>-97.6190476189501</v>
      </c>
      <c r="D100" s="0" t="n">
        <f aca="false">(C99+C100)/2*(A100-A99)</f>
        <v>-1.671550671549</v>
      </c>
      <c r="E100" s="0" t="n">
        <f aca="false">E99+D100</f>
        <v>-5.63369963369412</v>
      </c>
      <c r="F100" s="0" t="n">
        <f aca="false">E100/$B$2</f>
        <v>-0.0649862277011775</v>
      </c>
    </row>
    <row r="101" customFormat="false" ht="15.75" hidden="false" customHeight="false" outlineLevel="0" collapsed="false">
      <c r="A101" s="0" t="n">
        <v>1.94</v>
      </c>
      <c r="B101" s="0" t="n">
        <v>729.263309402</v>
      </c>
      <c r="C101" s="0" t="n">
        <f aca="false">B101-$B$1</f>
        <v>-122.03907203895</v>
      </c>
      <c r="D101" s="0" t="n">
        <f aca="false">(C100+C101)/2*(A101-A100)</f>
        <v>-2.196581196579</v>
      </c>
      <c r="E101" s="0" t="n">
        <f aca="false">E100+D101</f>
        <v>-7.83028083027312</v>
      </c>
      <c r="F101" s="0" t="n">
        <f aca="false">E101/$B$2</f>
        <v>-0.0903243776002707</v>
      </c>
    </row>
    <row r="102" customFormat="false" ht="15.75" hidden="false" customHeight="false" outlineLevel="0" collapsed="false">
      <c r="A102" s="0" t="n">
        <v>1.96</v>
      </c>
      <c r="B102" s="0" t="n">
        <v>712.169292308</v>
      </c>
      <c r="C102" s="0" t="n">
        <f aca="false">B102-$B$1</f>
        <v>-139.13308913295</v>
      </c>
      <c r="D102" s="0" t="n">
        <f aca="false">(C101+C102)/2*(A102-A101)</f>
        <v>-2.611721611719</v>
      </c>
      <c r="E102" s="0" t="n">
        <f aca="false">E101+D102</f>
        <v>-10.4420024419921</v>
      </c>
      <c r="F102" s="0" t="n">
        <f aca="false">E102/$B$2</f>
        <v>-0.120451282899971</v>
      </c>
    </row>
    <row r="103" customFormat="false" ht="15.75" hidden="false" customHeight="false" outlineLevel="0" collapsed="false">
      <c r="A103" s="0" t="n">
        <v>1.98</v>
      </c>
      <c r="B103" s="0" t="n">
        <v>690.19127033</v>
      </c>
      <c r="C103" s="0" t="n">
        <f aca="false">B103-$B$1</f>
        <v>-161.11111111095</v>
      </c>
      <c r="D103" s="0" t="n">
        <f aca="false">(C102+C103)/2*(A103-A102)</f>
        <v>-3.00244200243901</v>
      </c>
      <c r="E103" s="0" t="n">
        <f aca="false">E102+D103</f>
        <v>-13.4444444444311</v>
      </c>
      <c r="F103" s="0" t="n">
        <f aca="false">E103/$B$2</f>
        <v>-0.155085252106124</v>
      </c>
    </row>
    <row r="104" customFormat="false" ht="15.75" hidden="false" customHeight="false" outlineLevel="0" collapsed="false">
      <c r="A104" s="0" t="n">
        <v>2</v>
      </c>
      <c r="B104" s="0" t="n">
        <v>660.887241026</v>
      </c>
      <c r="C104" s="0" t="n">
        <f aca="false">B104-$B$1</f>
        <v>-190.41514041495</v>
      </c>
      <c r="D104" s="0" t="n">
        <f aca="false">(C103+C104)/2*(A104-A103)</f>
        <v>-3.51526251525901</v>
      </c>
      <c r="E104" s="0" t="n">
        <f aca="false">E103+D104</f>
        <v>-16.9597069596901</v>
      </c>
      <c r="F104" s="0" t="n">
        <f aca="false">E104/$B$2</f>
        <v>-0.195634742689498</v>
      </c>
    </row>
    <row r="105" customFormat="false" ht="15.75" hidden="false" customHeight="false" outlineLevel="0" collapsed="false">
      <c r="A105" s="0" t="n">
        <v>2.02</v>
      </c>
      <c r="B105" s="0" t="n">
        <v>646.235226374</v>
      </c>
      <c r="C105" s="0" t="n">
        <f aca="false">B105-$B$1</f>
        <v>-205.06715506695</v>
      </c>
      <c r="D105" s="0" t="n">
        <f aca="false">(C104+C105)/2*(A105-A104)</f>
        <v>-3.95482295481901</v>
      </c>
      <c r="E105" s="0" t="n">
        <f aca="false">E104+D105</f>
        <v>-20.9145299145091</v>
      </c>
      <c r="F105" s="0" t="n">
        <f aca="false">E105/$B$2</f>
        <v>-0.241254680167632</v>
      </c>
    </row>
    <row r="106" customFormat="false" ht="15.75" hidden="false" customHeight="false" outlineLevel="0" collapsed="false">
      <c r="A106" s="0" t="n">
        <v>2.04</v>
      </c>
      <c r="B106" s="0" t="n">
        <v>621.815201954</v>
      </c>
      <c r="C106" s="0" t="n">
        <f aca="false">B106-$B$1</f>
        <v>-229.48717948695</v>
      </c>
      <c r="D106" s="0" t="n">
        <f aca="false">(C105+C106)/2*(A106-A105)</f>
        <v>-4.34554334553901</v>
      </c>
      <c r="E106" s="0" t="n">
        <f aca="false">E105+D106</f>
        <v>-25.2600732600481</v>
      </c>
      <c r="F106" s="0" t="n">
        <f aca="false">E106/$B$2</f>
        <v>-0.291381681552219</v>
      </c>
    </row>
    <row r="107" customFormat="false" ht="15.75" hidden="false" customHeight="false" outlineLevel="0" collapsed="false">
      <c r="A107" s="0" t="n">
        <v>2.06</v>
      </c>
      <c r="B107" s="0" t="n">
        <v>583.964164103</v>
      </c>
      <c r="C107" s="0" t="n">
        <f aca="false">B107-$B$1</f>
        <v>-267.33821733795</v>
      </c>
      <c r="D107" s="0" t="n">
        <f aca="false">(C106+C107)/2*(A107-A106)</f>
        <v>-4.96825396824901</v>
      </c>
      <c r="E107" s="0" t="n">
        <f aca="false">E106+D107</f>
        <v>-30.2283272282972</v>
      </c>
      <c r="F107" s="0" t="n">
        <f aca="false">E107/$B$2</f>
        <v>-0.348691816037717</v>
      </c>
    </row>
    <row r="108" customFormat="false" ht="15.75" hidden="false" customHeight="false" outlineLevel="0" collapsed="false">
      <c r="A108" s="0" t="n">
        <v>2.08</v>
      </c>
      <c r="B108" s="0" t="n">
        <v>535.124115263</v>
      </c>
      <c r="C108" s="0" t="n">
        <f aca="false">B108-$B$1</f>
        <v>-316.17826617795</v>
      </c>
      <c r="D108" s="0" t="n">
        <f aca="false">(C107+C108)/2*(A108-A107)</f>
        <v>-5.83516483515901</v>
      </c>
      <c r="E108" s="0" t="n">
        <f aca="false">E107+D108</f>
        <v>-36.0634920634562</v>
      </c>
      <c r="F108" s="0" t="n">
        <f aca="false">E108/$B$2</f>
        <v>-0.416001998565658</v>
      </c>
    </row>
    <row r="109" customFormat="false" ht="15.75" hidden="false" customHeight="false" outlineLevel="0" collapsed="false">
      <c r="A109" s="0" t="n">
        <v>2.1</v>
      </c>
      <c r="B109" s="0" t="n">
        <v>507.041087179</v>
      </c>
      <c r="C109" s="0" t="n">
        <f aca="false">B109-$B$1</f>
        <v>-344.26129426195</v>
      </c>
      <c r="D109" s="0" t="n">
        <f aca="false">(C108+C109)/2*(A109-A108)</f>
        <v>-6.60439560439901</v>
      </c>
      <c r="E109" s="0" t="n">
        <f aca="false">E108+D109</f>
        <v>-42.6678876678552</v>
      </c>
      <c r="F109" s="0" t="n">
        <f aca="false">E109/$B$2</f>
        <v>-0.492185463159545</v>
      </c>
    </row>
    <row r="110" customFormat="false" ht="15.75" hidden="false" customHeight="false" outlineLevel="0" collapsed="false">
      <c r="A110" s="0" t="n">
        <v>2.12</v>
      </c>
      <c r="B110" s="0" t="n">
        <v>500.936081074</v>
      </c>
      <c r="C110" s="0" t="n">
        <f aca="false">B110-$B$1</f>
        <v>-350.36630036695</v>
      </c>
      <c r="D110" s="0" t="n">
        <f aca="false">(C109+C110)/2*(A110-A109)</f>
        <v>-6.94627594628901</v>
      </c>
      <c r="E110" s="0" t="n">
        <f aca="false">E109+D110</f>
        <v>-49.6141636141442</v>
      </c>
      <c r="F110" s="0" t="n">
        <f aca="false">E110/$B$2</f>
        <v>-0.572312608671694</v>
      </c>
    </row>
    <row r="111" customFormat="false" ht="15.75" hidden="false" customHeight="false" outlineLevel="0" collapsed="false">
      <c r="A111" s="0" t="n">
        <v>2.14</v>
      </c>
      <c r="B111" s="0" t="n">
        <v>526.577106716</v>
      </c>
      <c r="C111" s="0" t="n">
        <f aca="false">B111-$B$1</f>
        <v>-324.72527472495</v>
      </c>
      <c r="D111" s="0" t="n">
        <f aca="false">(C110+C111)/2*(A111-A110)</f>
        <v>-6.75091575091901</v>
      </c>
      <c r="E111" s="0" t="n">
        <f aca="false">E110+D111</f>
        <v>-56.3650793650632</v>
      </c>
      <c r="F111" s="0" t="n">
        <f aca="false">E111/$B$2</f>
        <v>-0.650186222230501</v>
      </c>
    </row>
    <row r="112" customFormat="false" ht="15.75" hidden="false" customHeight="false" outlineLevel="0" collapsed="false">
      <c r="A112" s="0" t="n">
        <v>2.16</v>
      </c>
      <c r="B112" s="0" t="n">
        <v>594.953175092</v>
      </c>
      <c r="C112" s="0" t="n">
        <f aca="false">B112-$B$1</f>
        <v>-256.34920634895</v>
      </c>
      <c r="D112" s="0" t="n">
        <f aca="false">(C111+C112)/2*(A112-A111)</f>
        <v>-5.81074481073901</v>
      </c>
      <c r="E112" s="0" t="n">
        <f aca="false">E111+D112</f>
        <v>-62.1758241758022</v>
      </c>
      <c r="F112" s="0" t="n">
        <f aca="false">E112/$B$2</f>
        <v>-0.717214713264289</v>
      </c>
    </row>
    <row r="113" customFormat="false" ht="15.75" hidden="false" customHeight="false" outlineLevel="0" collapsed="false">
      <c r="A113" s="0" t="n">
        <v>2.18</v>
      </c>
      <c r="B113" s="0" t="n">
        <v>657.224237363</v>
      </c>
      <c r="C113" s="0" t="n">
        <f aca="false">B113-$B$1</f>
        <v>-194.07814407795</v>
      </c>
      <c r="D113" s="0" t="n">
        <f aca="false">(C112+C113)/2*(A113-A112)</f>
        <v>-4.50427350426901</v>
      </c>
      <c r="E113" s="0" t="n">
        <f aca="false">E112+D113</f>
        <v>-66.6800976800712</v>
      </c>
      <c r="F113" s="0" t="n">
        <f aca="false">E113/$B$2</f>
        <v>-0.769172709360873</v>
      </c>
    </row>
    <row r="114" customFormat="false" ht="15.75" hidden="false" customHeight="false" outlineLevel="0" collapsed="false">
      <c r="A114" s="0" t="n">
        <v>2.2</v>
      </c>
      <c r="B114" s="0" t="n">
        <v>709.727289866</v>
      </c>
      <c r="C114" s="0" t="n">
        <f aca="false">B114-$B$1</f>
        <v>-141.57509157495</v>
      </c>
      <c r="D114" s="0" t="n">
        <f aca="false">(C113+C114)/2*(A114-A113)</f>
        <v>-3.356532356529</v>
      </c>
      <c r="E114" s="0" t="n">
        <f aca="false">E113+D114</f>
        <v>-70.0366300366002</v>
      </c>
      <c r="F114" s="0" t="n">
        <f aca="false">E114/$B$2</f>
        <v>-0.80789120523225</v>
      </c>
    </row>
    <row r="115" customFormat="false" ht="15.75" hidden="false" customHeight="false" outlineLevel="0" collapsed="false">
      <c r="A115" s="0" t="n">
        <v>2.22</v>
      </c>
      <c r="B115" s="0" t="n">
        <v>739.03131917</v>
      </c>
      <c r="C115" s="0" t="n">
        <f aca="false">B115-$B$1</f>
        <v>-112.27106227095</v>
      </c>
      <c r="D115" s="0" t="n">
        <f aca="false">(C114+C115)/2*(A115-A114)</f>
        <v>-2.538461538459</v>
      </c>
      <c r="E115" s="0" t="n">
        <f aca="false">E114+D115</f>
        <v>-72.5750915750592</v>
      </c>
      <c r="F115" s="0" t="n">
        <f aca="false">E115/$B$2</f>
        <v>-0.83717303604949</v>
      </c>
    </row>
    <row r="116" customFormat="false" ht="15.75" hidden="false" customHeight="false" outlineLevel="0" collapsed="false">
      <c r="A116" s="0" t="n">
        <v>2.24</v>
      </c>
      <c r="B116" s="0" t="n">
        <v>770.777350916</v>
      </c>
      <c r="C116" s="0" t="n">
        <f aca="false">B116-$B$1</f>
        <v>-80.52503052495</v>
      </c>
      <c r="D116" s="0" t="n">
        <f aca="false">(C115+C116)/2*(A116-A115)</f>
        <v>-1.927960927959</v>
      </c>
      <c r="E116" s="0" t="n">
        <f aca="false">E115+D116</f>
        <v>-74.5030525030182</v>
      </c>
      <c r="F116" s="0" t="n">
        <f aca="false">E116/$B$2</f>
        <v>-0.859412579512897</v>
      </c>
    </row>
    <row r="117" customFormat="false" ht="15.75" hidden="false" customHeight="false" outlineLevel="0" collapsed="false">
      <c r="A117" s="0" t="n">
        <v>2.26</v>
      </c>
      <c r="B117" s="0" t="n">
        <v>801.302381441</v>
      </c>
      <c r="C117" s="0" t="n">
        <f aca="false">B117-$B$1</f>
        <v>-49.9999999999501</v>
      </c>
      <c r="D117" s="0" t="n">
        <f aca="false">(C116+C117)/2*(A117-A116)</f>
        <v>-1.30525030524897</v>
      </c>
      <c r="E117" s="0" t="n">
        <f aca="false">E116+D117</f>
        <v>-75.8083028082672</v>
      </c>
      <c r="F117" s="0" t="n">
        <f aca="false">E117/$B$2</f>
        <v>-0.874468989875393</v>
      </c>
    </row>
    <row r="118" customFormat="false" ht="15.75" hidden="false" customHeight="false" outlineLevel="0" collapsed="false">
      <c r="A118" s="0" t="n">
        <v>2.28</v>
      </c>
      <c r="B118" s="0" t="n">
        <v>863.573443712</v>
      </c>
      <c r="C118" s="0" t="n">
        <f aca="false">B118-$B$1</f>
        <v>12.2710622710499</v>
      </c>
      <c r="D118" s="0" t="n">
        <f aca="false">(C117+C118)/2*(A118-A117)</f>
        <v>-0.377289377289002</v>
      </c>
      <c r="E118" s="0" t="n">
        <f aca="false">E117+D118</f>
        <v>-76.1855921855562</v>
      </c>
      <c r="F118" s="0" t="n">
        <f aca="false">E118/$B$2</f>
        <v>-0.878821123460062</v>
      </c>
    </row>
    <row r="119" customFormat="false" ht="15.75" hidden="false" customHeight="false" outlineLevel="0" collapsed="false">
      <c r="A119" s="0" t="n">
        <v>2.3</v>
      </c>
      <c r="B119" s="0" t="n">
        <v>894.098474237</v>
      </c>
      <c r="C119" s="0" t="n">
        <f aca="false">B119-$B$1</f>
        <v>42.79609279605</v>
      </c>
      <c r="D119" s="0" t="n">
        <f aca="false">(C118+C119)/2*(A119-A118)</f>
        <v>0.550671550670999</v>
      </c>
      <c r="E119" s="0" t="n">
        <f aca="false">E118+D119</f>
        <v>-75.6349206348852</v>
      </c>
      <c r="F119" s="0" t="n">
        <f aca="false">E119/$B$2</f>
        <v>-0.872468980266904</v>
      </c>
    </row>
    <row r="120" customFormat="false" ht="15.75" hidden="false" customHeight="false" outlineLevel="0" collapsed="false">
      <c r="A120" s="0" t="n">
        <v>2.32</v>
      </c>
      <c r="B120" s="0" t="n">
        <v>909.97149011</v>
      </c>
      <c r="C120" s="0" t="n">
        <f aca="false">B120-$B$1</f>
        <v>58.6691086690499</v>
      </c>
      <c r="D120" s="0" t="n">
        <f aca="false">(C119+C120)/2*(A120-A119)</f>
        <v>1.014652014651</v>
      </c>
      <c r="E120" s="0" t="n">
        <f aca="false">E119+D120</f>
        <v>-74.6202686202342</v>
      </c>
      <c r="F120" s="0" t="n">
        <f aca="false">E120/$B$2</f>
        <v>-0.860764698684832</v>
      </c>
    </row>
    <row r="121" customFormat="false" ht="15.75" hidden="false" customHeight="false" outlineLevel="0" collapsed="false">
      <c r="A121" s="0" t="n">
        <v>2.34</v>
      </c>
      <c r="B121" s="0" t="n">
        <v>957.590537729</v>
      </c>
      <c r="C121" s="0" t="n">
        <f aca="false">B121-$B$1</f>
        <v>106.28815628805</v>
      </c>
      <c r="D121" s="0" t="n">
        <f aca="false">(C120+C121)/2*(A121-A120)</f>
        <v>1.649572649571</v>
      </c>
      <c r="E121" s="0" t="n">
        <f aca="false">E120+D121</f>
        <v>-72.9706959706632</v>
      </c>
      <c r="F121" s="0" t="n">
        <f aca="false">E121/$B$2</f>
        <v>-0.841736438254774</v>
      </c>
    </row>
    <row r="122" customFormat="false" ht="15.75" hidden="false" customHeight="false" outlineLevel="0" collapsed="false">
      <c r="A122" s="0" t="n">
        <v>2.36</v>
      </c>
      <c r="B122" s="0" t="n">
        <v>1001.54658168</v>
      </c>
      <c r="C122" s="0" t="n">
        <f aca="false">B122-$B$1</f>
        <v>150.24420023905</v>
      </c>
      <c r="D122" s="0" t="n">
        <f aca="false">(C121+C122)/2*(A122-A121)</f>
        <v>2.565323565271</v>
      </c>
      <c r="E122" s="0" t="n">
        <f aca="false">E121+D122</f>
        <v>-70.4053724053922</v>
      </c>
      <c r="F122" s="0" t="n">
        <f aca="false">E122/$B$2</f>
        <v>-0.812144746794542</v>
      </c>
    </row>
    <row r="123" customFormat="false" ht="15.75" hidden="false" customHeight="false" outlineLevel="0" collapsed="false">
      <c r="A123" s="0" t="n">
        <v>2.38</v>
      </c>
      <c r="B123" s="0" t="n">
        <v>1043.0606232</v>
      </c>
      <c r="C123" s="0" t="n">
        <f aca="false">B123-$B$1</f>
        <v>191.75824175905</v>
      </c>
      <c r="D123" s="0" t="n">
        <f aca="false">(C122+C123)/2*(A123-A122)</f>
        <v>3.420024419981</v>
      </c>
      <c r="E123" s="0" t="n">
        <f aca="false">E122+D123</f>
        <v>-66.9853479854112</v>
      </c>
      <c r="F123" s="0" t="n">
        <f aca="false">E123/$B$2</f>
        <v>-0.772693853038828</v>
      </c>
    </row>
    <row r="124" customFormat="false" ht="15.75" hidden="false" customHeight="false" outlineLevel="0" collapsed="false">
      <c r="A124" s="0" t="n">
        <v>2.4</v>
      </c>
      <c r="B124" s="0" t="n">
        <v>1102.88968303</v>
      </c>
      <c r="C124" s="0" t="n">
        <f aca="false">B124-$B$1</f>
        <v>251.58730158905</v>
      </c>
      <c r="D124" s="0" t="n">
        <f aca="false">(C123+C124)/2*(A124-A123)</f>
        <v>4.433455433481</v>
      </c>
      <c r="E124" s="0" t="n">
        <f aca="false">E123+D124</f>
        <v>-62.5518925519302</v>
      </c>
      <c r="F124" s="0" t="n">
        <f aca="false">E124/$B$2</f>
        <v>-0.721552762274943</v>
      </c>
    </row>
    <row r="125" customFormat="false" ht="15.75" hidden="false" customHeight="false" outlineLevel="0" collapsed="false">
      <c r="A125" s="0" t="n">
        <v>2.42</v>
      </c>
      <c r="B125" s="0" t="n">
        <v>1185.91776606</v>
      </c>
      <c r="C125" s="0" t="n">
        <f aca="false">B125-$B$1</f>
        <v>334.61538461905</v>
      </c>
      <c r="D125" s="0" t="n">
        <f aca="false">(C124+C125)/2*(A125-A124)</f>
        <v>5.86202686208101</v>
      </c>
      <c r="E125" s="0" t="n">
        <f aca="false">E124+D125</f>
        <v>-56.6898656898492</v>
      </c>
      <c r="F125" s="0" t="n">
        <f aca="false">E125/$B$2</f>
        <v>-0.65393271910274</v>
      </c>
    </row>
    <row r="126" customFormat="false" ht="15.75" hidden="false" customHeight="false" outlineLevel="0" collapsed="false">
      <c r="A126" s="0" t="n">
        <v>2.44</v>
      </c>
      <c r="B126" s="0" t="n">
        <v>1270.16685031</v>
      </c>
      <c r="C126" s="0" t="n">
        <f aca="false">B126-$B$1</f>
        <v>418.86446886905</v>
      </c>
      <c r="D126" s="0" t="n">
        <f aca="false">(C125+C126)/2*(A126-A125)</f>
        <v>7.53479853488101</v>
      </c>
      <c r="E126" s="0" t="n">
        <f aca="false">E125+D126</f>
        <v>-49.1550671549682</v>
      </c>
      <c r="F126" s="0" t="n">
        <f aca="false">E126/$B$2</f>
        <v>-0.567016808580688</v>
      </c>
    </row>
    <row r="127" customFormat="false" ht="15.75" hidden="false" customHeight="false" outlineLevel="0" collapsed="false">
      <c r="A127" s="0" t="n">
        <v>2.46</v>
      </c>
      <c r="B127" s="0" t="n">
        <v>1365.40494554</v>
      </c>
      <c r="C127" s="0" t="n">
        <f aca="false">B127-$B$1</f>
        <v>514.10256409905</v>
      </c>
      <c r="D127" s="0" t="n">
        <f aca="false">(C126+C127)/2*(A127-A126)</f>
        <v>9.32967032968101</v>
      </c>
      <c r="E127" s="0" t="n">
        <f aca="false">E126+D127</f>
        <v>-39.8253968252872</v>
      </c>
      <c r="F127" s="0" t="n">
        <f aca="false">E127/$B$2</f>
        <v>-0.459396573239173</v>
      </c>
    </row>
    <row r="128" customFormat="false" ht="15.75" hidden="false" customHeight="false" outlineLevel="0" collapsed="false">
      <c r="A128" s="0" t="n">
        <v>2.48</v>
      </c>
      <c r="B128" s="0" t="n">
        <v>1470.41105055</v>
      </c>
      <c r="C128" s="0" t="n">
        <f aca="false">B128-$B$1</f>
        <v>619.10866910905</v>
      </c>
      <c r="D128" s="0" t="n">
        <f aca="false">(C127+C128)/2*(A128-A127)</f>
        <v>11.332112332081</v>
      </c>
      <c r="E128" s="0" t="n">
        <f aca="false">E127+D128</f>
        <v>-28.4932844932061</v>
      </c>
      <c r="F128" s="0" t="n">
        <f aca="false">E128/$B$2</f>
        <v>-0.328677635377545</v>
      </c>
    </row>
    <row r="129" customFormat="false" ht="15.75" hidden="false" customHeight="false" outlineLevel="0" collapsed="false">
      <c r="A129" s="0" t="n">
        <v>2.5</v>
      </c>
      <c r="B129" s="0" t="n">
        <v>1565.64914579</v>
      </c>
      <c r="C129" s="0" t="n">
        <f aca="false">B129-$B$1</f>
        <v>714.34676434905</v>
      </c>
      <c r="D129" s="0" t="n">
        <f aca="false">(C128+C129)/2*(A129-A128)</f>
        <v>13.334554334581</v>
      </c>
      <c r="E129" s="0" t="n">
        <f aca="false">E128+D129</f>
        <v>-15.1587301586251</v>
      </c>
      <c r="F129" s="0" t="n">
        <f aca="false">E129/$B$2</f>
        <v>-0.174859994994651</v>
      </c>
    </row>
    <row r="130" customFormat="false" ht="15.75" hidden="false" customHeight="false" outlineLevel="0" collapsed="false">
      <c r="A130" s="0" t="n">
        <v>2.52</v>
      </c>
      <c r="B130" s="0" t="n">
        <v>1627.92020806</v>
      </c>
      <c r="C130" s="0" t="n">
        <f aca="false">B130-$B$1</f>
        <v>776.61782661905</v>
      </c>
      <c r="D130" s="0" t="n">
        <f aca="false">(C129+C130)/2*(A130-A129)</f>
        <v>14.909645909681</v>
      </c>
      <c r="E130" s="0" t="n">
        <f aca="false">E129+D130</f>
        <v>-0.249084248944117</v>
      </c>
      <c r="F130" s="0" t="n">
        <f aca="false">E130/$B$2</f>
        <v>-0.0028732532387505</v>
      </c>
    </row>
    <row r="131" customFormat="false" ht="15.75" hidden="false" customHeight="false" outlineLevel="0" collapsed="false">
      <c r="A131" s="0" t="n">
        <v>2.54</v>
      </c>
      <c r="B131" s="0" t="n">
        <v>1681.64426178</v>
      </c>
      <c r="C131" s="0" t="n">
        <f aca="false">B131-$B$1</f>
        <v>830.34188033905</v>
      </c>
      <c r="D131" s="0" t="n">
        <f aca="false">(C130+C131)/2*(A131-A130)</f>
        <v>16.069597069581</v>
      </c>
      <c r="E131" s="0" t="n">
        <f aca="false">E130+D131</f>
        <v>15.8205128206369</v>
      </c>
      <c r="F131" s="0" t="n">
        <f aca="false">E131/$B$2</f>
        <v>0.182493834488857</v>
      </c>
    </row>
    <row r="132" customFormat="false" ht="15.75" hidden="false" customHeight="false" outlineLevel="0" collapsed="false">
      <c r="A132" s="0" t="n">
        <v>2.56</v>
      </c>
      <c r="B132" s="0" t="n">
        <v>1759.78833993</v>
      </c>
      <c r="C132" s="0" t="n">
        <f aca="false">B132-$B$1</f>
        <v>908.48595848905</v>
      </c>
      <c r="D132" s="0" t="n">
        <f aca="false">(C131+C132)/2*(A132-A131)</f>
        <v>17.388278388281</v>
      </c>
      <c r="E132" s="0" t="n">
        <f aca="false">E131+D132</f>
        <v>33.2087912089179</v>
      </c>
      <c r="F132" s="0" t="n">
        <f aca="false">E132/$B$2</f>
        <v>0.383072262900975</v>
      </c>
    </row>
    <row r="133" customFormat="false" ht="15.75" hidden="false" customHeight="false" outlineLevel="0" collapsed="false">
      <c r="A133" s="0" t="n">
        <v>2.58</v>
      </c>
      <c r="B133" s="0" t="n">
        <v>1811.07039121</v>
      </c>
      <c r="C133" s="0" t="n">
        <f aca="false">B133-$B$1</f>
        <v>959.76800976905</v>
      </c>
      <c r="D133" s="0" t="n">
        <f aca="false">(C132+C133)/2*(A133-A132)</f>
        <v>18.682539682581</v>
      </c>
      <c r="E133" s="0" t="n">
        <f aca="false">E132+D133</f>
        <v>51.8913308914989</v>
      </c>
      <c r="F133" s="0" t="n">
        <f aca="false">E133/$B$2</f>
        <v>0.598580340503682</v>
      </c>
    </row>
    <row r="134" customFormat="false" ht="15.75" hidden="false" customHeight="false" outlineLevel="0" collapsed="false">
      <c r="A134" s="0" t="n">
        <v>2.6</v>
      </c>
      <c r="B134" s="0" t="n">
        <v>1835.49041563</v>
      </c>
      <c r="C134" s="0" t="n">
        <f aca="false">B134-$B$1</f>
        <v>984.18803418905</v>
      </c>
      <c r="D134" s="0" t="n">
        <f aca="false">(C133+C134)/2*(A134-A133)</f>
        <v>19.439560439581</v>
      </c>
      <c r="E134" s="0" t="n">
        <f aca="false">E133+D134</f>
        <v>71.3308913310799</v>
      </c>
      <c r="F134" s="0" t="n">
        <f aca="false">E134/$B$2</f>
        <v>0.822820854424912</v>
      </c>
    </row>
    <row r="135" customFormat="false" ht="15.75" hidden="false" customHeight="false" outlineLevel="0" collapsed="false">
      <c r="A135" s="0" t="n">
        <v>2.62</v>
      </c>
      <c r="B135" s="0" t="n">
        <v>1861.13144127</v>
      </c>
      <c r="C135" s="0" t="n">
        <f aca="false">B135-$B$1</f>
        <v>1009.82905982905</v>
      </c>
      <c r="D135" s="0" t="n">
        <f aca="false">(C134+C135)/2*(A135-A134)</f>
        <v>19.940170940181</v>
      </c>
      <c r="E135" s="0" t="n">
        <f aca="false">E134+D135</f>
        <v>91.271062271261</v>
      </c>
      <c r="F135" s="0" t="n">
        <f aca="false">E135/$B$2</f>
        <v>1.05283604397617</v>
      </c>
    </row>
    <row r="136" customFormat="false" ht="15.75" hidden="false" customHeight="false" outlineLevel="0" collapsed="false">
      <c r="A136" s="0" t="n">
        <v>2.64</v>
      </c>
      <c r="B136" s="0" t="n">
        <v>1898.98247912</v>
      </c>
      <c r="C136" s="0" t="n">
        <f aca="false">B136-$B$1</f>
        <v>1047.68009767905</v>
      </c>
      <c r="D136" s="0" t="n">
        <f aca="false">(C135+C136)/2*(A136-A135)</f>
        <v>20.575091575081</v>
      </c>
      <c r="E136" s="0" t="n">
        <f aca="false">E135+D136</f>
        <v>111.846153846342</v>
      </c>
      <c r="F136" s="0" t="n">
        <f aca="false">E136/$B$2</f>
        <v>1.29017521237518</v>
      </c>
    </row>
    <row r="137" customFormat="false" ht="15.75" hidden="false" customHeight="false" outlineLevel="0" collapsed="false">
      <c r="A137" s="0" t="n">
        <v>2.66</v>
      </c>
      <c r="B137" s="0" t="n">
        <v>1942.93852308</v>
      </c>
      <c r="C137" s="0" t="n">
        <f aca="false">B137-$B$1</f>
        <v>1091.63614163905</v>
      </c>
      <c r="D137" s="0" t="n">
        <f aca="false">(C136+C137)/2*(A137-A136)</f>
        <v>21.393162393181</v>
      </c>
      <c r="E137" s="0" t="n">
        <f aca="false">E136+D137</f>
        <v>133.239316239523</v>
      </c>
      <c r="F137" s="0" t="n">
        <f aca="false">E137/$B$2</f>
        <v>1.53695104582868</v>
      </c>
    </row>
    <row r="138" customFormat="false" ht="15.75" hidden="false" customHeight="false" outlineLevel="0" collapsed="false">
      <c r="A138" s="0" t="n">
        <v>2.68</v>
      </c>
      <c r="B138" s="0" t="n">
        <v>1950.2645304</v>
      </c>
      <c r="C138" s="0" t="n">
        <f aca="false">B138-$B$1</f>
        <v>1098.96214895905</v>
      </c>
      <c r="D138" s="0" t="n">
        <f aca="false">(C137+C138)/2*(A138-A137)</f>
        <v>21.905982905981</v>
      </c>
      <c r="E138" s="0" t="n">
        <f aca="false">E137+D138</f>
        <v>155.145299145504</v>
      </c>
      <c r="F138" s="0" t="n">
        <f aca="false">E138/$B$2</f>
        <v>1.78964240065917</v>
      </c>
    </row>
    <row r="139" customFormat="false" ht="15.75" hidden="false" customHeight="false" outlineLevel="0" collapsed="false">
      <c r="A139" s="0" t="n">
        <v>2.7</v>
      </c>
      <c r="B139" s="0" t="n">
        <v>1913.63449377</v>
      </c>
      <c r="C139" s="0" t="n">
        <f aca="false">B139-$B$1</f>
        <v>1062.33211232905</v>
      </c>
      <c r="D139" s="0" t="n">
        <f aca="false">(C138+C139)/2*(A139-A138)</f>
        <v>21.612942612881</v>
      </c>
      <c r="E139" s="0" t="n">
        <f aca="false">E138+D139</f>
        <v>176.758241758385</v>
      </c>
      <c r="F139" s="0" t="n">
        <f aca="false">E139/$B$2</f>
        <v>2.03895345755912</v>
      </c>
    </row>
    <row r="140" customFormat="false" ht="15.75" hidden="false" customHeight="false" outlineLevel="0" collapsed="false">
      <c r="A140" s="0" t="n">
        <v>2.72</v>
      </c>
      <c r="B140" s="0" t="n">
        <v>1859.91044005</v>
      </c>
      <c r="C140" s="0" t="n">
        <f aca="false">B140-$B$1</f>
        <v>1008.60805860905</v>
      </c>
      <c r="D140" s="0" t="n">
        <f aca="false">(C139+C140)/2*(A140-A139)</f>
        <v>20.709401709381</v>
      </c>
      <c r="E140" s="0" t="n">
        <f aca="false">E139+D140</f>
        <v>197.467643467766</v>
      </c>
      <c r="F140" s="0" t="n">
        <f aca="false">E140/$B$2</f>
        <v>2.27784192917587</v>
      </c>
    </row>
    <row r="141" customFormat="false" ht="15.75" hidden="false" customHeight="false" outlineLevel="0" collapsed="false">
      <c r="A141" s="0" t="n">
        <v>2.74</v>
      </c>
      <c r="B141" s="0" t="n">
        <v>1806.18638632</v>
      </c>
      <c r="C141" s="0" t="n">
        <f aca="false">B141-$B$1</f>
        <v>954.88400487905</v>
      </c>
      <c r="D141" s="0" t="n">
        <f aca="false">(C140+C141)/2*(A141-A140)</f>
        <v>19.634920634881</v>
      </c>
      <c r="E141" s="0" t="n">
        <f aca="false">E140+D141</f>
        <v>217.102564102647</v>
      </c>
      <c r="F141" s="0" t="n">
        <f aca="false">E141/$B$2</f>
        <v>2.50433597504963</v>
      </c>
    </row>
    <row r="142" customFormat="false" ht="15.75" hidden="false" customHeight="false" outlineLevel="0" collapsed="false">
      <c r="A142" s="0" t="n">
        <v>2.76</v>
      </c>
      <c r="B142" s="0" t="n">
        <v>1638.90921905</v>
      </c>
      <c r="C142" s="0" t="n">
        <f aca="false">B142-$B$1</f>
        <v>787.60683760905</v>
      </c>
      <c r="D142" s="0" t="n">
        <f aca="false">(C141+C142)/2*(A142-A141)</f>
        <v>17.4249084248806</v>
      </c>
      <c r="E142" s="0" t="n">
        <f aca="false">E141+D142</f>
        <v>234.527472527528</v>
      </c>
      <c r="F142" s="0" t="n">
        <f aca="false">E142/$B$2</f>
        <v>2.70533694070263</v>
      </c>
    </row>
    <row r="143" customFormat="false" ht="15.75" hidden="false" customHeight="false" outlineLevel="0" collapsed="false">
      <c r="A143" s="0" t="n">
        <v>2.78</v>
      </c>
      <c r="B143" s="0" t="n">
        <v>1088.23766838</v>
      </c>
      <c r="C143" s="0" t="n">
        <f aca="false">B143-$B$1</f>
        <v>236.93528693905</v>
      </c>
      <c r="D143" s="0" t="n">
        <f aca="false">(C142+C143)/2*(A143-A142)</f>
        <v>10.245421245481</v>
      </c>
      <c r="E143" s="0" t="n">
        <f aca="false">E142+D143</f>
        <v>244.772893773009</v>
      </c>
      <c r="F143" s="0" t="n">
        <f aca="false">E143/$B$2</f>
        <v>2.82352060707547</v>
      </c>
    </row>
    <row r="144" customFormat="false" ht="15.75" hidden="false" customHeight="false" outlineLevel="0" collapsed="false">
      <c r="A144" s="0" t="n">
        <v>2.8</v>
      </c>
      <c r="B144" s="0" t="n">
        <v>156.613736752</v>
      </c>
      <c r="C144" s="0" t="n">
        <f aca="false">B144-$B$1</f>
        <v>-694.68864468895</v>
      </c>
      <c r="D144" s="0" t="n">
        <f aca="false">(C143+C144)/2*(A144-A143)</f>
        <v>-4.577533577499</v>
      </c>
      <c r="E144" s="0" t="n">
        <f aca="false">E143+D144</f>
        <v>240.19536019551</v>
      </c>
      <c r="F144" s="0" t="n">
        <f aca="false">E144/$B$2</f>
        <v>2.77071753649677</v>
      </c>
    </row>
    <row r="145" customFormat="false" ht="15.75" hidden="false" customHeight="false" outlineLevel="0" collapsed="false">
      <c r="A145" s="3" t="n">
        <v>2.82</v>
      </c>
      <c r="B145" s="3" t="n">
        <v>-3.33742319902</v>
      </c>
      <c r="C145" s="3" t="n">
        <f aca="false">B145-$B$1</f>
        <v>-854.63980463997</v>
      </c>
      <c r="D145" s="3" t="n">
        <f aca="false">(C144+C145)/2*(A145-A144)</f>
        <v>-15.4932844932892</v>
      </c>
      <c r="E145" s="3" t="n">
        <f aca="false">E144+D145</f>
        <v>224.70207570222</v>
      </c>
      <c r="F145" s="3" t="n">
        <f aca="false">E145/$B$2</f>
        <v>2.59199836803095</v>
      </c>
    </row>
    <row r="146" customFormat="false" ht="15.75" hidden="false" customHeight="false" outlineLevel="0" collapsed="false">
      <c r="A146" s="0" t="n">
        <v>2.84</v>
      </c>
      <c r="B146" s="0" t="n">
        <v>-25.315445177</v>
      </c>
      <c r="C146" s="0" t="n">
        <f aca="false">B146-$B$1</f>
        <v>-876.61782661795</v>
      </c>
      <c r="D146" s="0" t="n">
        <f aca="false">(C145+C146)/2*(A146-A145)</f>
        <v>-17.3125763125792</v>
      </c>
      <c r="E146" s="0" t="n">
        <f aca="false">E145+D146</f>
        <v>207.389499389641</v>
      </c>
      <c r="F146" s="0" t="n">
        <f aca="false">E146/$B$2</f>
        <v>2.39229318325071</v>
      </c>
    </row>
    <row r="147" customFormat="false" ht="15.75" hidden="false" customHeight="false" outlineLevel="0" collapsed="false">
      <c r="A147" s="0" t="n">
        <v>2.86</v>
      </c>
      <c r="B147" s="0" t="n">
        <v>1.54658168498</v>
      </c>
      <c r="C147" s="0" t="n">
        <f aca="false">B147-$B$1</f>
        <v>-849.75579975597</v>
      </c>
      <c r="D147" s="0" t="n">
        <f aca="false">(C146+C147)/2*(A147-A146)</f>
        <v>-17.2637362637392</v>
      </c>
      <c r="E147" s="0" t="n">
        <f aca="false">E146+D147</f>
        <v>190.125763125902</v>
      </c>
      <c r="F147" s="0" t="n">
        <f aca="false">E147/$B$2</f>
        <v>2.19315138145877</v>
      </c>
    </row>
    <row r="148" customFormat="false" ht="15.75" hidden="false" customHeight="false" outlineLevel="0" collapsed="false">
      <c r="A148" s="0" t="n">
        <v>2.88</v>
      </c>
      <c r="B148" s="0" t="n">
        <v>5.20958534799</v>
      </c>
      <c r="C148" s="0" t="n">
        <f aca="false">B148-$B$1</f>
        <v>-846.09279609296</v>
      </c>
      <c r="D148" s="0" t="n">
        <f aca="false">(C147+C148)/2*(A148-A147)</f>
        <v>-16.9584859584893</v>
      </c>
      <c r="E148" s="0" t="n">
        <f aca="false">E147+D148</f>
        <v>173.167277167413</v>
      </c>
      <c r="F148" s="0" t="n">
        <f aca="false">E148/$B$2</f>
        <v>1.99753072334374</v>
      </c>
    </row>
    <row r="149" customFormat="false" ht="15.75" hidden="false" customHeight="false" outlineLevel="0" collapsed="false">
      <c r="A149" s="0" t="n">
        <v>2.9</v>
      </c>
      <c r="B149" s="0" t="n">
        <v>0.325580463981</v>
      </c>
      <c r="C149" s="0" t="n">
        <f aca="false">B149-$B$1</f>
        <v>-850.976800976969</v>
      </c>
      <c r="D149" s="0" t="n">
        <f aca="false">(C148+C149)/2*(A149-A148)</f>
        <v>-16.9706959706993</v>
      </c>
      <c r="E149" s="0" t="n">
        <f aca="false">E148+D149</f>
        <v>156.196581196713</v>
      </c>
      <c r="F149" s="0" t="n">
        <f aca="false">E149/$B$2</f>
        <v>1.80176921948164</v>
      </c>
    </row>
    <row r="150" customFormat="false" ht="15.75" hidden="false" customHeight="false" outlineLevel="0" collapsed="false">
      <c r="A150" s="0" t="n">
        <v>2.92</v>
      </c>
      <c r="B150" s="0" t="n">
        <v>-5.77942564103</v>
      </c>
      <c r="C150" s="0" t="n">
        <f aca="false">B150-$B$1</f>
        <v>-857.08180708198</v>
      </c>
      <c r="D150" s="0" t="n">
        <f aca="false">(C149+C150)/2*(A150-A149)</f>
        <v>-17.0805860805895</v>
      </c>
      <c r="E150" s="0" t="n">
        <f aca="false">E149+D150</f>
        <v>139.115995116124</v>
      </c>
      <c r="F150" s="0" t="n">
        <f aca="false">E150/$B$2</f>
        <v>1.60474010389585</v>
      </c>
    </row>
    <row r="151" customFormat="false" ht="15.75" hidden="false" customHeight="false" outlineLevel="0" collapsed="false">
      <c r="A151" s="0" t="n">
        <v>2.94</v>
      </c>
      <c r="B151" s="0" t="n">
        <v>-3.33742319902</v>
      </c>
      <c r="C151" s="0" t="n">
        <f aca="false">B151-$B$1</f>
        <v>-854.63980463997</v>
      </c>
      <c r="D151" s="0" t="n">
        <f aca="false">(C150+C151)/2*(A151-A150)</f>
        <v>-17.1172161172195</v>
      </c>
      <c r="E151" s="0" t="n">
        <f aca="false">E150+D151</f>
        <v>121.998778998904</v>
      </c>
      <c r="F151" s="0" t="n">
        <f aca="false">E151/$B$2</f>
        <v>1.40728845106883</v>
      </c>
    </row>
    <row r="152" customFormat="false" ht="15.75" hidden="false" customHeight="false" outlineLevel="0" collapsed="false">
      <c r="A152" s="0" t="n">
        <v>2.96</v>
      </c>
      <c r="B152" s="0" t="n">
        <v>-2.11642197802</v>
      </c>
      <c r="C152" s="0" t="n">
        <f aca="false">B152-$B$1</f>
        <v>-853.41880341897</v>
      </c>
      <c r="D152" s="0" t="n">
        <f aca="false">(C151+C152)/2*(A152-A151)</f>
        <v>-17.0805860805894</v>
      </c>
      <c r="E152" s="0" t="n">
        <f aca="false">E151+D152</f>
        <v>104.918192918315</v>
      </c>
      <c r="F152" s="0" t="n">
        <f aca="false">E152/$B$2</f>
        <v>1.21025933548304</v>
      </c>
    </row>
    <row r="153" customFormat="false" ht="15.75" hidden="false" customHeight="false" outlineLevel="0" collapsed="false">
      <c r="A153" s="0" t="n">
        <v>2.98</v>
      </c>
      <c r="B153" s="0" t="n">
        <v>0.325580463981</v>
      </c>
      <c r="C153" s="0" t="n">
        <f aca="false">B153-$B$1</f>
        <v>-850.976800976969</v>
      </c>
      <c r="D153" s="0" t="n">
        <f aca="false">(C152+C153)/2*(A153-A152)</f>
        <v>-17.0439560439594</v>
      </c>
      <c r="E153" s="0" t="n">
        <f aca="false">E152+D153</f>
        <v>87.8742368743556</v>
      </c>
      <c r="F153" s="0" t="n">
        <f aca="false">E153/$B$2</f>
        <v>1.01365275713848</v>
      </c>
    </row>
    <row r="154" customFormat="false" ht="15.75" hidden="false" customHeight="false" outlineLevel="0" collapsed="false">
      <c r="A154" s="0" t="n">
        <v>3</v>
      </c>
      <c r="B154" s="0" t="n">
        <v>-0.895420757021</v>
      </c>
      <c r="C154" s="0" t="n">
        <f aca="false">B154-$B$1</f>
        <v>-852.197802197971</v>
      </c>
      <c r="D154" s="0" t="n">
        <f aca="false">(C153+C154)/2*(A154-A153)</f>
        <v>-17.0317460317494</v>
      </c>
      <c r="E154" s="0" t="n">
        <f aca="false">E153+D154</f>
        <v>70.8424908426062</v>
      </c>
      <c r="F154" s="0" t="n">
        <f aca="false">E154/$B$2</f>
        <v>0.817187024540994</v>
      </c>
    </row>
    <row r="155" customFormat="false" ht="15.75" hidden="false" customHeight="false" outlineLevel="0" collapsed="false">
      <c r="A155" s="0" t="n">
        <v>3.02</v>
      </c>
      <c r="B155" s="0" t="n">
        <v>-0.895420757021</v>
      </c>
      <c r="C155" s="0" t="n">
        <f aca="false">B155-$B$1</f>
        <v>-852.197802197971</v>
      </c>
      <c r="D155" s="0" t="n">
        <f aca="false">(C154+C155)/2*(A155-A154)</f>
        <v>-17.0439560439594</v>
      </c>
      <c r="E155" s="0" t="n">
        <f aca="false">E154+D155</f>
        <v>53.7985347986467</v>
      </c>
      <c r="F155" s="0" t="n">
        <f aca="false">E155/$B$2</f>
        <v>0.620580446196433</v>
      </c>
    </row>
    <row r="156" customFormat="false" ht="15.75" hidden="false" customHeight="false" outlineLevel="0" collapsed="false">
      <c r="A156" s="0" t="n">
        <v>3.04</v>
      </c>
      <c r="B156" s="0" t="n">
        <v>-0.895420757021</v>
      </c>
      <c r="C156" s="0" t="n">
        <f aca="false">B156-$B$1</f>
        <v>-852.197802197971</v>
      </c>
      <c r="D156" s="0" t="n">
        <f aca="false">(C155+C156)/2*(A156-A155)</f>
        <v>-17.0439560439594</v>
      </c>
      <c r="E156" s="0" t="n">
        <f aca="false">E155+D156</f>
        <v>36.7545787546873</v>
      </c>
      <c r="F156" s="0" t="n">
        <f aca="false">E156/$B$2</f>
        <v>0.423973867851872</v>
      </c>
    </row>
    <row r="157" customFormat="false" ht="15.75" hidden="false" customHeight="false" outlineLevel="0" collapsed="false">
      <c r="A157" s="0" t="n">
        <v>3.06</v>
      </c>
      <c r="B157" s="0" t="n">
        <v>-0.895420757021</v>
      </c>
      <c r="C157" s="0" t="n">
        <f aca="false">B157-$B$1</f>
        <v>-852.197802197971</v>
      </c>
      <c r="D157" s="0" t="n">
        <f aca="false">(C156+C157)/2*(A157-A156)</f>
        <v>-17.0439560439594</v>
      </c>
      <c r="E157" s="0" t="n">
        <f aca="false">E156+D157</f>
        <v>19.7106227107278</v>
      </c>
      <c r="F157" s="0" t="n">
        <f aca="false">E157/$B$2</f>
        <v>0.227367289507311</v>
      </c>
    </row>
    <row r="158" customFormat="false" ht="15.75" hidden="false" customHeight="false" outlineLevel="0" collapsed="false">
      <c r="A158" s="0" t="n">
        <v>3.08</v>
      </c>
      <c r="B158" s="0" t="n">
        <v>-0.895420757021</v>
      </c>
      <c r="C158" s="0" t="n">
        <f aca="false">B158-$B$1</f>
        <v>-852.197802197971</v>
      </c>
      <c r="D158" s="0" t="n">
        <f aca="false">(C157+C158)/2*(A158-A157)</f>
        <v>-17.0439560439594</v>
      </c>
      <c r="E158" s="0" t="n">
        <f aca="false">E157+D158</f>
        <v>2.6666666667684</v>
      </c>
      <c r="F158" s="0" t="n">
        <f aca="false">E158/$B$2</f>
        <v>0.0307607111627493</v>
      </c>
    </row>
    <row r="159" customFormat="false" ht="15.75" hidden="false" customHeight="false" outlineLevel="0" collapsed="false">
      <c r="A159" s="0" t="n">
        <v>3.1</v>
      </c>
      <c r="B159" s="0" t="n">
        <v>-0.895420757021</v>
      </c>
      <c r="C159" s="0" t="n">
        <f aca="false">B159-$B$1</f>
        <v>-852.197802197971</v>
      </c>
      <c r="D159" s="0" t="n">
        <f aca="false">(C158+C159)/2*(A159-A158)</f>
        <v>-17.0439560439594</v>
      </c>
      <c r="E159" s="0" t="n">
        <f aca="false">E158+D159</f>
        <v>-14.377289377191</v>
      </c>
      <c r="F159" s="0" t="n">
        <f aca="false">E159/$B$2</f>
        <v>-0.165845867181812</v>
      </c>
    </row>
    <row r="160" customFormat="false" ht="15.75" hidden="false" customHeight="false" outlineLevel="0" collapsed="false">
      <c r="A160" s="0" t="n">
        <v>3.12</v>
      </c>
      <c r="B160" s="0" t="n">
        <v>-0.895420757021</v>
      </c>
      <c r="C160" s="0" t="n">
        <f aca="false">B160-$B$1</f>
        <v>-852.197802197971</v>
      </c>
      <c r="D160" s="0" t="n">
        <f aca="false">(C159+C160)/2*(A160-A159)</f>
        <v>-17.0439560439594</v>
      </c>
      <c r="E160" s="0" t="n">
        <f aca="false">E159+D160</f>
        <v>-31.4212454211505</v>
      </c>
      <c r="F160" s="0" t="n">
        <f aca="false">E160/$B$2</f>
        <v>-0.362452445526373</v>
      </c>
    </row>
    <row r="161" customFormat="false" ht="15.75" hidden="false" customHeight="false" outlineLevel="0" collapsed="false">
      <c r="A161" s="0" t="n">
        <v>3.14</v>
      </c>
      <c r="B161" s="0" t="n">
        <v>-0.895420757021</v>
      </c>
      <c r="C161" s="0" t="n">
        <f aca="false">B161-$B$1</f>
        <v>-852.197802197971</v>
      </c>
      <c r="D161" s="0" t="n">
        <f aca="false">(C160+C161)/2*(A161-A160)</f>
        <v>-17.0439560439594</v>
      </c>
      <c r="E161" s="0" t="n">
        <f aca="false">E160+D161</f>
        <v>-48.4652014651099</v>
      </c>
      <c r="F161" s="0" t="n">
        <f aca="false">E161/$B$2</f>
        <v>-0.559059023870934</v>
      </c>
    </row>
    <row r="162" customFormat="false" ht="15.75" hidden="false" customHeight="false" outlineLevel="0" collapsed="false">
      <c r="A162" s="0" t="n">
        <v>3.16</v>
      </c>
      <c r="B162" s="0" t="n">
        <v>-0.895420757021</v>
      </c>
      <c r="C162" s="0" t="n">
        <f aca="false">B162-$B$1</f>
        <v>-852.197802197971</v>
      </c>
      <c r="D162" s="0" t="n">
        <f aca="false">(C161+C162)/2*(A162-A161)</f>
        <v>-17.0439560439594</v>
      </c>
      <c r="E162" s="0" t="n">
        <f aca="false">E161+D162</f>
        <v>-65.5091575090694</v>
      </c>
      <c r="F162" s="0" t="n">
        <f aca="false">E162/$B$2</f>
        <v>-0.755665602215496</v>
      </c>
    </row>
    <row r="163" customFormat="false" ht="15.75" hidden="false" customHeight="false" outlineLevel="0" collapsed="false">
      <c r="A163" s="0" t="n">
        <v>3.18</v>
      </c>
      <c r="B163" s="0" t="n">
        <v>-0.895420757021</v>
      </c>
      <c r="C163" s="0" t="n">
        <f aca="false">B163-$B$1</f>
        <v>-852.197802197971</v>
      </c>
      <c r="D163" s="0" t="n">
        <f aca="false">(C162+C163)/2*(A163-A162)</f>
        <v>-17.0439560439594</v>
      </c>
      <c r="E163" s="0" t="n">
        <f aca="false">E162+D163</f>
        <v>-82.5531135530288</v>
      </c>
      <c r="F163" s="0" t="n">
        <f aca="false">E163/$B$2</f>
        <v>-0.952272180560057</v>
      </c>
    </row>
    <row r="164" customFormat="false" ht="15.75" hidden="false" customHeight="false" outlineLevel="0" collapsed="false">
      <c r="A164" s="0" t="n">
        <v>3.2</v>
      </c>
      <c r="B164" s="0" t="n">
        <v>-0.895420757021</v>
      </c>
      <c r="C164" s="0" t="n">
        <f aca="false">B164-$B$1</f>
        <v>-852.197802197971</v>
      </c>
      <c r="D164" s="0" t="n">
        <f aca="false">(C163+C164)/2*(A164-A163)</f>
        <v>-17.0439560439594</v>
      </c>
      <c r="E164" s="0" t="n">
        <f aca="false">E163+D164</f>
        <v>-99.5970695969882</v>
      </c>
      <c r="F164" s="0" t="n">
        <f aca="false">E164/$B$2</f>
        <v>-1.14887875890462</v>
      </c>
    </row>
    <row r="165" customFormat="false" ht="15.75" hidden="false" customHeight="false" outlineLevel="0" collapsed="false">
      <c r="A165" s="0" t="n">
        <v>3.22</v>
      </c>
      <c r="B165" s="0" t="n">
        <v>-0.895420757021</v>
      </c>
      <c r="C165" s="0" t="n">
        <f aca="false">B165-$B$1</f>
        <v>-852.197802197971</v>
      </c>
      <c r="D165" s="0" t="n">
        <f aca="false">(C164+C165)/2*(A165-A164)</f>
        <v>-17.0439560439594</v>
      </c>
      <c r="E165" s="0" t="n">
        <f aca="false">E164+D165</f>
        <v>-116.641025640948</v>
      </c>
      <c r="F165" s="0" t="n">
        <f aca="false">E165/$B$2</f>
        <v>-1.34548533724918</v>
      </c>
    </row>
    <row r="166" customFormat="false" ht="15.75" hidden="false" customHeight="false" outlineLevel="0" collapsed="false">
      <c r="A166" s="0" t="n">
        <v>3.24</v>
      </c>
      <c r="B166" s="0" t="n">
        <v>-0.895420757021</v>
      </c>
      <c r="C166" s="0" t="n">
        <f aca="false">B166-$B$1</f>
        <v>-852.197802197971</v>
      </c>
      <c r="D166" s="0" t="n">
        <f aca="false">(C165+C166)/2*(A166-A165)</f>
        <v>-17.0439560439594</v>
      </c>
      <c r="E166" s="0" t="n">
        <f aca="false">E165+D166</f>
        <v>-133.684981684907</v>
      </c>
      <c r="F166" s="0" t="n">
        <f aca="false">E166/$B$2</f>
        <v>-1.54209191559374</v>
      </c>
    </row>
    <row r="167" customFormat="false" ht="15.75" hidden="false" customHeight="false" outlineLevel="0" collapsed="false">
      <c r="A167" s="0" t="n">
        <v>3.26</v>
      </c>
      <c r="B167" s="0" t="n">
        <v>-0.895420757021</v>
      </c>
      <c r="C167" s="0" t="n">
        <f aca="false">B167-$B$1</f>
        <v>-852.197802197971</v>
      </c>
      <c r="D167" s="0" t="n">
        <f aca="false">(C166+C167)/2*(A167-A166)</f>
        <v>-17.0439560439591</v>
      </c>
      <c r="E167" s="0" t="n">
        <f aca="false">E166+D167</f>
        <v>-150.728937728866</v>
      </c>
      <c r="F167" s="0" t="n">
        <f aca="false">E167/$B$2</f>
        <v>-1.7386984939383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2026-09-21T12:00:40Z</dcterms:created>
  <dc:creator>Christoph Ridder (CR | EG)</dc:creator>
  <dc:description/>
  <dc:language>en-US</dc:language>
  <cp:lastModifiedBy/>
  <dcterms:modified xsi:type="dcterms:W3CDTF">2026-09-21T14:33:26Z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